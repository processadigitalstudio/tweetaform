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Especificaciones_Contenido" sheetId="2" state="visible" r:id="rId4"/>
    <sheet name="Unidades" sheetId="3" state="visible" r:id="rId5"/>
    <sheet name="Banco_Clasificad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<sst xmlns="http://schemas.openxmlformats.org/spreadsheetml/2006/main" count="3253" uniqueCount="1024">
  <si>
    <t xml:space="preserve">Tracker de Contenido — Plataforma de Ingles (A1-B2)</t>
  </si>
  <si>
    <t xml:space="preserve">Roxy / Processa Digital Studio — actualizar celdas amarillas en la hoja 'Unidades'</t>
  </si>
  <si>
    <t xml:space="preserve">Nivel</t>
  </si>
  <si>
    <t xml:space="preserve">Grammar Explicacion — % Listo</t>
  </si>
  <si>
    <t xml:space="preserve">Vocab List — % Listo</t>
  </si>
  <si>
    <t xml:space="preserve">Reading — % Listo</t>
  </si>
  <si>
    <t xml:space="preserve">Listening — % Listo</t>
  </si>
  <si>
    <t xml:space="preserve">Writing Prompt — % Listo</t>
  </si>
  <si>
    <t xml:space="preserve">Unit Quiz — % Listo</t>
  </si>
  <si>
    <t xml:space="preserve">Total unidades</t>
  </si>
  <si>
    <t xml:space="preserve">A1</t>
  </si>
  <si>
    <t xml:space="preserve">A2</t>
  </si>
  <si>
    <t xml:space="preserve">B1.1</t>
  </si>
  <si>
    <t xml:space="preserve">B1.2</t>
  </si>
  <si>
    <t xml:space="preserve">B2</t>
  </si>
  <si>
    <t xml:space="preserve">TOTAL</t>
  </si>
  <si>
    <t xml:space="preserve">Como usar esta hoja:</t>
  </si>
  <si>
    <t xml:space="preserve">1. Ve a la hoja 'Unidades' y llena la columna 'Preguntas del banco (550)' con cuantas preguntas ya tienes por unidad.</t>
  </si>
  <si>
    <t xml:space="preserve">2. Cambia cada columna de estado (Grammar, Vocab, Reading, Listening, Writing, Quiz) a Pendiente / En progreso / Listo usando el menu desplegable.</t>
  </si>
  <si>
    <t xml:space="preserve">3. Esta hoja se actualiza sola con el % de avance por nivel y tipo de contenido.</t>
  </si>
  <si>
    <t xml:space="preserve">4. La columna 'Notas' es libre — usala para anotar fuente del contenido, quien lo esta escribiendo, o pendientes.</t>
  </si>
  <si>
    <t xml:space="preserve">Alcance del piloto (MVP): 20 unidades x 6 lecciones = 120 lecciones</t>
  </si>
  <si>
    <t xml:space="preserve">A1: unidades 1-5 · A2: unidades 1-5 · B1: unidades 1-5 de B1.1 · B2: unidades 1-5 — el resto queda en Fase 2</t>
  </si>
  <si>
    <t xml:space="preserve">Especificacion de contenido por unidad (la 'receta' que sigue cada unidad)</t>
  </si>
  <si>
    <t xml:space="preserve">Usar esta hoja como brief para quien escriba el contenido de cada unidad — mantiene todo uniforme.</t>
  </si>
  <si>
    <t xml:space="preserve">Elemento</t>
  </si>
  <si>
    <t xml:space="preserve">A1 / A2</t>
  </si>
  <si>
    <t xml:space="preserve">B1.1 / B1.2</t>
  </si>
  <si>
    <t xml:space="preserve">Notas</t>
  </si>
  <si>
    <t xml:space="preserve">Explicacion gramatical</t>
  </si>
  <si>
    <t xml:space="preserve">150-250 palabras. 1 regla central + 3-4 ejemplos + 1 error comun.</t>
  </si>
  <si>
    <t xml:space="preserve">250-350 palabras. Regla central + 1-2 sub-reglas + 4-5 ejemplos + errores comunes.</t>
  </si>
  <si>
    <t xml:space="preserve">300-450 palabras. Incluir matices, excepciones y diferencias de registro (formal/informal).</t>
  </si>
  <si>
    <t xml:space="preserve">Escribir SIEMPRE con el can-do statement de la unidad como objetivo, no solo la regla en abstracto.</t>
  </si>
  <si>
    <t xml:space="preserve">Lista de vocabulario</t>
  </si>
  <si>
    <t xml:space="preserve">10-12 palabras/frases.</t>
  </si>
  <si>
    <t xml:space="preserve">15-18 palabras/frases.</t>
  </si>
  <si>
    <t xml:space="preserve">18-22 palabras/frases.</t>
  </si>
  <si>
    <t xml:space="preserve">Cada palabra con: definicion simple, ejemplo en oracion, y (fase 2) audio de pronunciacion.</t>
  </si>
  <si>
    <t xml:space="preserve">Reading passage</t>
  </si>
  <si>
    <t xml:space="preserve">80-120 palabras (A1) / 120-180 (A2). 4-5 preguntas de comprension.</t>
  </si>
  <si>
    <t xml:space="preserve">180-280 palabras. 5-6 preguntas de comprension.</t>
  </si>
  <si>
    <t xml:space="preserve">280-400 palabras. 6 preguntas de comprension, incluir inferencia/opinion.</t>
  </si>
  <si>
    <t xml:space="preserve">Debe usar el vocabulario Y la gramatica de la unidad — no un texto generico del nivel.</t>
  </si>
  <si>
    <t xml:space="preserve">Listening script</t>
  </si>
  <si>
    <t xml:space="preserve">60-100 palabras / 30-45 seg (A1) / 100-150 palabras / 45-60 seg (A2). 4-5 preguntas.</t>
  </si>
  <si>
    <t xml:space="preserve">150-220 palabras / 1-1.5 min. 5-6 preguntas.</t>
  </si>
  <si>
    <t xml:space="preserve">220-320 palabras / 1.5-2.5 min. 6 preguntas, incluir inferencia.</t>
  </si>
  <si>
    <t xml:space="preserve">Escribir el script primero: sirve tanto para grabacion real como para TTS mientras llegan los audios.</t>
  </si>
  <si>
    <t xml:space="preserve">Writing prompt + rubrica</t>
  </si>
  <si>
    <t xml:space="preserve">A1: 3-5 oraciones. A2: parrafo corto (40-60 palabras).</t>
  </si>
  <si>
    <t xml:space="preserve">80-120 palabras.</t>
  </si>
  <si>
    <t xml:space="preserve">120-180 palabras.</t>
  </si>
  <si>
    <t xml:space="preserve">Rubrica de 4 criterios: cumplimiento de la tarea, uso del punto gramatical de la unidad, vocabulario, coherencia.</t>
  </si>
  <si>
    <t xml:space="preserve">Quiz de unidad</t>
  </si>
  <si>
    <t xml:space="preserve">10-12 items. Mezcla: seleccion multiple, fill-in-blank, verdadero/falso.</t>
  </si>
  <si>
    <t xml:space="preserve">10-12 items. Agregar emparejar y ordenar oraciones.</t>
  </si>
  <si>
    <t xml:space="preserve">10-12 items. Agregar encontrar-el-error para gramatica avanzada.</t>
  </si>
  <si>
    <t xml:space="preserve">~60% gramatica de la unidad / 40% vocabulario. Reusar preguntas del banco de 550 que clasificaron 'Alta' o 'Media' como bono.</t>
  </si>
  <si>
    <t xml:space="preserve">Unidad #</t>
  </si>
  <si>
    <t xml:space="preserve">Titulo</t>
  </si>
  <si>
    <t xml:space="preserve">Tema gramatical</t>
  </si>
  <si>
    <t xml:space="preserve">Vocabulario / tema lexico</t>
  </si>
  <si>
    <t xml:space="preserve">Funcion comunicativa</t>
  </si>
  <si>
    <t xml:space="preserve">Preguntas del banco (550)</t>
  </si>
  <si>
    <t xml:space="preserve">Grammar Explicacion</t>
  </si>
  <si>
    <t xml:space="preserve">Vocab List</t>
  </si>
  <si>
    <t xml:space="preserve">Reading</t>
  </si>
  <si>
    <t xml:space="preserve">Listening</t>
  </si>
  <si>
    <t xml:space="preserve">Writing Prompt</t>
  </si>
  <si>
    <t xml:space="preserve">Unit Quiz</t>
  </si>
  <si>
    <t xml:space="preserve">Fase</t>
  </si>
  <si>
    <t xml:space="preserve">1</t>
  </si>
  <si>
    <t xml:space="preserve">Nice to Meet You!</t>
  </si>
  <si>
    <t xml:space="preserve">Verb to be: afirmativo, negativo y preguntas</t>
  </si>
  <si>
    <t xml:space="preserve">Saludos, presentaciones, informacion personal</t>
  </si>
  <si>
    <t xml:space="preserve">Puede saludar, presentarse, decir quien es y de donde es</t>
  </si>
  <si>
    <t xml:space="preserve">Pendiente</t>
  </si>
  <si>
    <t xml:space="preserve">Fase 1 (MVP)</t>
  </si>
  <si>
    <t xml:space="preserve">2</t>
  </si>
  <si>
    <t xml:space="preserve">Transportation</t>
  </si>
  <si>
    <t xml:space="preserve">Subject, object y possessive pronouns</t>
  </si>
  <si>
    <t xml:space="preserve">Transporte y desplazamientos</t>
  </si>
  <si>
    <t xml:space="preserve">Puede hablar de personas y objetos y desenvolverse en transporte</t>
  </si>
  <si>
    <t xml:space="preserve">3</t>
  </si>
  <si>
    <t xml:space="preserve">Restaurants</t>
  </si>
  <si>
    <t xml:space="preserve">Singular/plural nouns; there is/there are; articulos</t>
  </si>
  <si>
    <t xml:space="preserve">Restaurantes, comida, biblioteca/estudios</t>
  </si>
  <si>
    <t xml:space="preserve">Puede describir lo que hay en un lugar y hablar de comida/restaurantes</t>
  </si>
  <si>
    <t xml:space="preserve">4</t>
  </si>
  <si>
    <t xml:space="preserve">Crime</t>
  </si>
  <si>
    <t xml:space="preserve">Be: short answers; this/that/these/those</t>
  </si>
  <si>
    <t xml:space="preserve">Crimen, policia, situaciones legales basicas</t>
  </si>
  <si>
    <t xml:space="preserve">Puede responder preguntas simples, identificar objetos y hablar de situaciones de delitos</t>
  </si>
  <si>
    <t xml:space="preserve">5</t>
  </si>
  <si>
    <t xml:space="preserve">Art</t>
  </si>
  <si>
    <t xml:space="preserve">Verb to be: afirmativo, Yes/No questions y contractions</t>
  </si>
  <si>
    <t xml:space="preserve">Arte, musica, entretenimiento</t>
  </si>
  <si>
    <t xml:space="preserve">Puede describir personas/situaciones sencillas y hablar de entretenimiento</t>
  </si>
  <si>
    <t xml:space="preserve">6</t>
  </si>
  <si>
    <t xml:space="preserve">Occupations</t>
  </si>
  <si>
    <t xml:space="preserve">Present Simple para ocupaciones</t>
  </si>
  <si>
    <t xml:space="preserve">Profesiones, trabajos, estudios</t>
  </si>
  <si>
    <t xml:space="preserve">Puede decir que hace, donde trabaja/estudia y hablar de ocupaciones</t>
  </si>
  <si>
    <t xml:space="preserve">Fase 2</t>
  </si>
  <si>
    <t xml:space="preserve">7</t>
  </si>
  <si>
    <t xml:space="preserve">Homes and Families</t>
  </si>
  <si>
    <t xml:space="preserve">Present Simple; have para posesion; posesivos</t>
  </si>
  <si>
    <t xml:space="preserve">Casa, vivienda, familia</t>
  </si>
  <si>
    <t xml:space="preserve">Puede describir su casa y hablar de su familia</t>
  </si>
  <si>
    <t xml:space="preserve">8</t>
  </si>
  <si>
    <t xml:space="preserve">Food and Drink</t>
  </si>
  <si>
    <t xml:space="preserve">Count/non-count nouns; have/has; would like/want</t>
  </si>
  <si>
    <t xml:space="preserve">Comida y bebidas, restaurante</t>
  </si>
  <si>
    <t xml:space="preserve">Puede hablar de lo que come y bebe y pedir comida</t>
  </si>
  <si>
    <t xml:space="preserve">9</t>
  </si>
  <si>
    <t xml:space="preserve">Health and Fitness</t>
  </si>
  <si>
    <t xml:space="preserve">Imperatives</t>
  </si>
  <si>
    <t xml:space="preserve">Salud, ejercicio, fitness</t>
  </si>
  <si>
    <t xml:space="preserve">Puede dar y seguir comandos, instrucciones, solicitudes y sugerencias</t>
  </si>
  <si>
    <t xml:space="preserve">10</t>
  </si>
  <si>
    <t xml:space="preserve">Business</t>
  </si>
  <si>
    <t xml:space="preserve">Present Progressive: afirmativo, preguntas, short answers y negativo/Wh</t>
  </si>
  <si>
    <t xml:space="preserve">Negocios, hoteles, viajes de negocios</t>
  </si>
  <si>
    <t xml:space="preserve">Puede decir que esta sucediendo y hablar de situaciones actuales</t>
  </si>
  <si>
    <t xml:space="preserve">11</t>
  </si>
  <si>
    <t xml:space="preserve">Shopping</t>
  </si>
  <si>
    <t xml:space="preserve">Possessive nouns; Present Progressive; contractions y spelling changes</t>
  </si>
  <si>
    <t xml:space="preserve">Compras, objetos, verbos, adjetivos</t>
  </si>
  <si>
    <t xml:space="preserve">Puede hablar de productos, pertenencias y acciones en progreso</t>
  </si>
  <si>
    <t xml:space="preserve">12</t>
  </si>
  <si>
    <t xml:space="preserve">Free Time</t>
  </si>
  <si>
    <t xml:space="preserve">Likes/dislikes; Present Simple, Present Progressive y be going to para futuro</t>
  </si>
  <si>
    <t xml:space="preserve">Tiempo libre, deportes, actividades</t>
  </si>
  <si>
    <t xml:space="preserve">Puede expresar gustos, hablar de tiempo libre y hacer planes</t>
  </si>
  <si>
    <t xml:space="preserve">13</t>
  </si>
  <si>
    <t xml:space="preserve">Routines</t>
  </si>
  <si>
    <t xml:space="preserve">Expresiones para decir la hora; preposiciones de tiempo; lenguaje para invitaciones</t>
  </si>
  <si>
    <t xml:space="preserve">Rutinas diarias, actividades, horarios</t>
  </si>
  <si>
    <t xml:space="preserve">Puede describir su rutina diaria, decir la hora e invitar a alguien</t>
  </si>
  <si>
    <t xml:space="preserve">14</t>
  </si>
  <si>
    <t xml:space="preserve">Weather</t>
  </si>
  <si>
    <t xml:space="preserve">Be para hablar del clima; preguntas y futuro</t>
  </si>
  <si>
    <t xml:space="preserve">Clima, estaciones, ropa</t>
  </si>
  <si>
    <t xml:space="preserve">Puede describir el clima y hablar de condiciones meteorologicas</t>
  </si>
  <si>
    <t xml:space="preserve">15</t>
  </si>
  <si>
    <t xml:space="preserve">Computers and Phones</t>
  </si>
  <si>
    <t xml:space="preserve">Can / will</t>
  </si>
  <si>
    <t xml:space="preserve">Computadores, telefonos, tecnologia</t>
  </si>
  <si>
    <t xml:space="preserve">Puede hablar de tecnologia, capacidad y situaciones futuras</t>
  </si>
  <si>
    <t xml:space="preserve">16</t>
  </si>
  <si>
    <t xml:space="preserve">Going to Places</t>
  </si>
  <si>
    <t xml:space="preserve">Be en pasado: afirmativo, negativo y preguntas</t>
  </si>
  <si>
    <t xml:space="preserve">Transporte, desplazamientos, viajes</t>
  </si>
  <si>
    <t xml:space="preserve">Puede hablar de como se transporta y donde estuvo — puente hacia A2</t>
  </si>
  <si>
    <t xml:space="preserve">Buying and Selling</t>
  </si>
  <si>
    <t xml:space="preserve">Be en pasado: afirmativo, negativo y preguntas; count/non-count nouns</t>
  </si>
  <si>
    <t xml:space="preserve">Compras, ventas, productos</t>
  </si>
  <si>
    <t xml:space="preserve">Puede hablar de compras y situaciones pasadas, describir productos, aceptar/rechazar invitaciones</t>
  </si>
  <si>
    <t xml:space="preserve">Hobbies</t>
  </si>
  <si>
    <t xml:space="preserve">Parts of speech</t>
  </si>
  <si>
    <t xml:space="preserve">Hobbies, tiempo libre, actividades</t>
  </si>
  <si>
    <t xml:space="preserve">Puede hablar de sus hobbies, intereses y actividades de tiempo libre (unidad de apoyo: vocabulario metalinguistico)</t>
  </si>
  <si>
    <t xml:space="preserve">Interesting People</t>
  </si>
  <si>
    <t xml:space="preserve">Past Simple: regular, irregular y questions; can</t>
  </si>
  <si>
    <t xml:space="preserve">Personas, adjetivos, experiencias</t>
  </si>
  <si>
    <t xml:space="preserve">Puede hablar de acontecimientos pasados, describir personas y expresar capacidad/permiso</t>
  </si>
  <si>
    <t xml:space="preserve">Emotions</t>
  </si>
  <si>
    <t xml:space="preserve">Past Progressive: afirmativo, negativo, preguntas; Past Progressive vs Past Simple</t>
  </si>
  <si>
    <t xml:space="preserve">Emociones, adjetivos</t>
  </si>
  <si>
    <t xml:space="preserve">Puede describir acciones en progreso en el pasado y relacionarlas con otros acontecimientos</t>
  </si>
  <si>
    <t xml:space="preserve">Housing</t>
  </si>
  <si>
    <t xml:space="preserve">Prepositions of place</t>
  </si>
  <si>
    <t xml:space="preserve">Vivienda, apartamentos, alojamiento</t>
  </si>
  <si>
    <t xml:space="preserve">Puede describir una vivienda, decir donde estan las cosas y hablar de alojamiento</t>
  </si>
  <si>
    <t xml:space="preserve">Healthy Eating</t>
  </si>
  <si>
    <t xml:space="preserve">Count/non-count nouns + quantifiers</t>
  </si>
  <si>
    <t xml:space="preserve">Alimentacion, cocina, nutricion, restaurantes</t>
  </si>
  <si>
    <t xml:space="preserve">Puede hablar de cantidades, alimentos y habitos alimenticios</t>
  </si>
  <si>
    <t xml:space="preserve">Sports</t>
  </si>
  <si>
    <t xml:space="preserve">Comparatives: equality, comparative y superlative; tag questions</t>
  </si>
  <si>
    <t xml:space="preserve">Deportes y actividad fisica</t>
  </si>
  <si>
    <t xml:space="preserve">Puede comparar personas/cosas y hacer sugerencias sobre actividades</t>
  </si>
  <si>
    <t xml:space="preserve">Getting Help</t>
  </si>
  <si>
    <t xml:space="preserve">Present Simple: afirmaciones, Yes/No questions y Wh questions</t>
  </si>
  <si>
    <t xml:space="preserve">Direcciones, lugares, servicios</t>
  </si>
  <si>
    <t xml:space="preserve">Puede pedir informacion, hacer preguntas y hablar de direcciones</t>
  </si>
  <si>
    <t xml:space="preserve">A Bad Day</t>
  </si>
  <si>
    <t xml:space="preserve">Have to; may</t>
  </si>
  <si>
    <t xml:space="preserve">Trabajo, relaciones, situaciones problematicas</t>
  </si>
  <si>
    <t xml:space="preserve">Puede expresar obligacion, prohibicion/permiso y posibilidad</t>
  </si>
  <si>
    <t xml:space="preserve">Business Matters</t>
  </si>
  <si>
    <t xml:space="preserve">Must; had to; must not; don't have to; be able to</t>
  </si>
  <si>
    <t xml:space="preserve">Trabajo, negocios, educacion</t>
  </si>
  <si>
    <t xml:space="preserve">Puede expresar obligacion, prohibicion, ausencia de obligacion y capacidad</t>
  </si>
  <si>
    <t xml:space="preserve">Planning a Vacation</t>
  </si>
  <si>
    <t xml:space="preserve">Should; infinitives after verbs; gerunds after verbs; comparative adverbs</t>
  </si>
  <si>
    <t xml:space="preserve">Viajes, vacaciones</t>
  </si>
  <si>
    <t xml:space="preserve">Puede hablar de planes de vacaciones, dar consejos y expresar preferencias</t>
  </si>
  <si>
    <t xml:space="preserve">Traveling Abroad</t>
  </si>
  <si>
    <t xml:space="preserve">Adverbs; will vs. going to; Simple Present y Present Progressive para futuro</t>
  </si>
  <si>
    <t xml:space="preserve">Viajes internacionales, aeropuerto</t>
  </si>
  <si>
    <t xml:space="preserve">Puede hablar de planes y predicciones y pedir/dar informacion durante un viaje</t>
  </si>
  <si>
    <t xml:space="preserve">Saving Energy</t>
  </si>
  <si>
    <t xml:space="preserve">Zero Conditional y First Conditional</t>
  </si>
  <si>
    <t xml:space="preserve">Energia, electricidad, medio ambiente</t>
  </si>
  <si>
    <t xml:space="preserve">Puede hablar de condiciones, consecuencias y formas de ahorrar energia</t>
  </si>
  <si>
    <t xml:space="preserve">Making Excuses</t>
  </si>
  <si>
    <t xml:space="preserve">Infinitives after adjectives; infinitives after objects; gerunds as subject</t>
  </si>
  <si>
    <t xml:space="preserve">Salud, comida, situaciones sociales</t>
  </si>
  <si>
    <t xml:space="preserve">Puede explicar razones, rechazar invitaciones y hablar de acciones/experiencias (revisar nivel: English Profile ubica esto en B1)</t>
  </si>
  <si>
    <t xml:space="preserve">Tickets, Please!</t>
  </si>
  <si>
    <t xml:space="preserve">Adverbs of frequency; gerund vs infinitive; impersonal statements</t>
  </si>
  <si>
    <t xml:space="preserve">Entretenimiento, teatro, tickets, viajes</t>
  </si>
  <si>
    <t xml:space="preserve">Puede hablar de frecuencia y desenvolverse al comprar/usar entradas (revisar nivel: adverbios de frecuencia suelen ser A1)</t>
  </si>
  <si>
    <t xml:space="preserve">Knowing a Second Language</t>
  </si>
  <si>
    <t xml:space="preserve">Revision de Present y Past tenses</t>
  </si>
  <si>
    <t xml:space="preserve">Aprendizaje de idiomas, bilinguismo</t>
  </si>
  <si>
    <t xml:space="preserve">Puede hablar de experiencias aprendiendo idiomas y expresar opiniones sobre el aprendizaje — revision final, puente hacia B1</t>
  </si>
  <si>
    <t xml:space="preserve">Education</t>
  </si>
  <si>
    <t xml:space="preserve">Present Perfect; contraste del Present Perfect con otros tiempos</t>
  </si>
  <si>
    <t xml:space="preserve">Educacion, trabajo</t>
  </si>
  <si>
    <t xml:space="preserve">Puede hablar de experiencias y acciones pasadas relevantes para el presente y hablar de educacion/trabajo</t>
  </si>
  <si>
    <t xml:space="preserve">Away From Home</t>
  </si>
  <si>
    <t xml:space="preserve">Present Perfect Progressive</t>
  </si>
  <si>
    <t xml:space="preserve">Estudiar en el extranjero, viajes, servicios postales</t>
  </si>
  <si>
    <t xml:space="preserve">Puede hablar de acciones que comenzaron en el pasado y continuan o han estado ocurriendo</t>
  </si>
  <si>
    <t xml:space="preserve">Banking</t>
  </si>
  <si>
    <t xml:space="preserve">Modals para ability, necessity y advice</t>
  </si>
  <si>
    <t xml:space="preserve">Banca, cuentas, servicios financieros</t>
  </si>
  <si>
    <t xml:space="preserve">Puede pedir informacion, hablar de servicios bancarios, expresar necesidad, capacidad y dar consejos</t>
  </si>
  <si>
    <t xml:space="preserve">Celebrations</t>
  </si>
  <si>
    <t xml:space="preserve">Passive Voice con/sin agent; passive modals</t>
  </si>
  <si>
    <t xml:space="preserve">Celebraciones, fiestas, familia</t>
  </si>
  <si>
    <t xml:space="preserve">Puede describir acontecimientos enfocandose en la accion y expresar posibilidad, probabilidad u obligacion en pasiva</t>
  </si>
  <si>
    <t xml:space="preserve">Arts and Entertainment</t>
  </si>
  <si>
    <t xml:space="preserve">Passive Voice: indirect form</t>
  </si>
  <si>
    <t xml:space="preserve">Musica, arte, entretenimiento</t>
  </si>
  <si>
    <t xml:space="preserve">Puede hablar de obras/eventos y formular o rechazar invitaciones</t>
  </si>
  <si>
    <t xml:space="preserve">Bad Weather</t>
  </si>
  <si>
    <t xml:space="preserve">Relative clauses: object, subject, con/sin relative pronoun</t>
  </si>
  <si>
    <t xml:space="preserve">Clima, tormentas, advertencias meteorologicas</t>
  </si>
  <si>
    <t xml:space="preserve">Puede describir personas/cosas con informacion adicional y hablar de situaciones meteorologicas</t>
  </si>
  <si>
    <t xml:space="preserve">Emergency</t>
  </si>
  <si>
    <t xml:space="preserve">Noun clauses; adverbial clauses; review</t>
  </si>
  <si>
    <t xml:space="preserve">Emergencias, accidentes de carretera</t>
  </si>
  <si>
    <t xml:space="preserve">Puede proporcionar/pedir informacion mas compleja y expresar relaciones de causa, tiempo, condicion, etc.</t>
  </si>
  <si>
    <t xml:space="preserve">Gadgets</t>
  </si>
  <si>
    <t xml:space="preserve">Future Simple y Future Progressive</t>
  </si>
  <si>
    <t xml:space="preserve">Tecnologia, gadgets, aplicaciones</t>
  </si>
  <si>
    <t xml:space="preserve">Puede hacer predicciones, hablar de planes futuros, comparar dispositivos y expresar opiniones — puente hacia B1.2</t>
  </si>
  <si>
    <t xml:space="preserve">Movie Making</t>
  </si>
  <si>
    <t xml:space="preserve">Past Simple y Past Progressive</t>
  </si>
  <si>
    <t xml:space="preserve">Cine, produccion cinematografica, industria audiovisual, tecnologia digital</t>
  </si>
  <si>
    <t xml:space="preserve">Puede narrar acontecimientos pasados, describir acciones en progreso y hablar sobre trabajos/procesos cinematograficos (repaso de apertura de B1.2)</t>
  </si>
  <si>
    <t xml:space="preserve">Buying a Car</t>
  </si>
  <si>
    <t xml:space="preserve">Real Conditionals</t>
  </si>
  <si>
    <t xml:space="preserve">Automoviles, compra/venta de vehiculos</t>
  </si>
  <si>
    <t xml:space="preserve">Puede hablar de posibilidades reales, persuadir a alguien y rechazar una oferta</t>
  </si>
  <si>
    <t xml:space="preserve">Accidents</t>
  </si>
  <si>
    <t xml:space="preserve">Past Perfect Progressive</t>
  </si>
  <si>
    <t xml:space="preserve">Accidentes, situaciones peligrosas</t>
  </si>
  <si>
    <t xml:space="preserve">Puede describir acciones que continuaban hasta un punto determinado del pasado y explicar relaciones causa/efecto</t>
  </si>
  <si>
    <t xml:space="preserve">Helping Out</t>
  </si>
  <si>
    <t xml:space="preserve">Past Perfect: review; Reported Speech: statements/questions</t>
  </si>
  <si>
    <t xml:space="preserve">Reparaciones del hogar, familia, ayuda</t>
  </si>
  <si>
    <t xml:space="preserve">Puede pedir/ofrecer ayuda, hacer sugerencias y reportar lo que otra persona dijo</t>
  </si>
  <si>
    <t xml:space="preserve">Dreams and Ambitions</t>
  </si>
  <si>
    <t xml:space="preserve">Unreal Conditionals</t>
  </si>
  <si>
    <t xml:space="preserve">Suenos, ambiciones, adjetivos, trabajo/dinero</t>
  </si>
  <si>
    <t xml:space="preserve">Puede hablar de situaciones hipoteticas, improbables o imposibles</t>
  </si>
  <si>
    <t xml:space="preserve">Politics</t>
  </si>
  <si>
    <t xml:space="preserve">Reported Speech: review; time aspects</t>
  </si>
  <si>
    <t xml:space="preserve">Politica, noticias, finanzas</t>
  </si>
  <si>
    <t xml:space="preserve">Puede reportar lo que otras personas dijeron/pensaron y hablar de acontecimientos politicos</t>
  </si>
  <si>
    <t xml:space="preserve">Instructions</t>
  </si>
  <si>
    <t xml:space="preserve">Causatives/Permissives: active y passive</t>
  </si>
  <si>
    <t xml:space="preserve">Instrucciones, viajes/aeropuerto, crimen</t>
  </si>
  <si>
    <t xml:space="preserve">Puede dar y recibir instrucciones y expresar que alguien hace, permite u obliga a realizar una accion</t>
  </si>
  <si>
    <t xml:space="preserve">Recycling</t>
  </si>
  <si>
    <t xml:space="preserve">Prefixes y suffixes; trabajo lexico sobre formacion de palabras</t>
  </si>
  <si>
    <t xml:space="preserve">Reciclaje, upcycling, medio ambiente</t>
  </si>
  <si>
    <t xml:space="preserve">Puede hablar de reciclaje, explicar causa/efecto, persuadir y proponer acciones ambientales — puente hacia B2</t>
  </si>
  <si>
    <t xml:space="preserve">Couples</t>
  </si>
  <si>
    <t xml:space="preserve">Past modals: should have, could have, might have, may have, must have</t>
  </si>
  <si>
    <t xml:space="preserve">Relaciones, parejas, matrimonio, divorcio</t>
  </si>
  <si>
    <t xml:space="preserve">Puede especular sobre situaciones pasadas, expresar arrepentimiento/critica y formular opiniones sobre acontecimientos pasados</t>
  </si>
  <si>
    <t xml:space="preserve">Sport and Fitness</t>
  </si>
  <si>
    <t xml:space="preserve">Past Conditionals</t>
  </si>
  <si>
    <t xml:space="preserve">Deportes, salud, fitness</t>
  </si>
  <si>
    <t xml:space="preserve">Puede hablar de situaciones pasadas que no ocurrieron y sus posibles consecuencias</t>
  </si>
  <si>
    <t xml:space="preserve">Restaurant Reviews</t>
  </si>
  <si>
    <t xml:space="preserve">Mixed-time Conditionals; review</t>
  </si>
  <si>
    <t xml:space="preserve">Restaurantes, comida, recomendaciones</t>
  </si>
  <si>
    <t xml:space="preserve">Puede evaluar experiencias, hacer recomendaciones y hablar de situaciones hipoteticas</t>
  </si>
  <si>
    <t xml:space="preserve">Problems at Work</t>
  </si>
  <si>
    <t xml:space="preserve">Non-restrictive Relative Clauses</t>
  </si>
  <si>
    <t xml:space="preserve">Relaciones laborales, sindicatos, huelgas</t>
  </si>
  <si>
    <t xml:space="preserve">Puede anadir informacion adicional sobre personas, empresas o situaciones laborales</t>
  </si>
  <si>
    <t xml:space="preserve">A Helping Hand</t>
  </si>
  <si>
    <t xml:space="preserve">Whoever, wherever, etc.; whose/where; review of relative clauses</t>
  </si>
  <si>
    <t xml:space="preserve">Problemas sociales, ayuda, salud</t>
  </si>
  <si>
    <t xml:space="preserve">Puede hablar de personas, lugares y situaciones utilizando estructuras relativas mas complejas</t>
  </si>
  <si>
    <t xml:space="preserve">Going Out</t>
  </si>
  <si>
    <t xml:space="preserve">Paired conjunctions; conjunctions in short answers</t>
  </si>
  <si>
    <t xml:space="preserve">Entretenimiento, eventos sociales, reuniones</t>
  </si>
  <si>
    <t xml:space="preserve">Puede conectar ideas y responder mostrando acuerdo, desacuerdo o relacion entre ideas</t>
  </si>
  <si>
    <t xml:space="preserve">Cultural Differences</t>
  </si>
  <si>
    <t xml:space="preserve">Clauses of Result: review</t>
  </si>
  <si>
    <t xml:space="preserve">Diferencias culturales, estereotipos, adjetivos</t>
  </si>
  <si>
    <t xml:space="preserve">Puede explicar condiciones, razones y resultados y discutir diferencias culturales</t>
  </si>
  <si>
    <t xml:space="preserve">Ecotourism</t>
  </si>
  <si>
    <t xml:space="preserve">Perfect Simple tenses</t>
  </si>
  <si>
    <t xml:space="preserve">Ecoturismo, turismo sostenible, viajes, hoteles</t>
  </si>
  <si>
    <t xml:space="preserve">Puede hablar de experiencias y acciones completadas y justificar opciones de turismo sostenible</t>
  </si>
  <si>
    <t xml:space="preserve">A Mystery</t>
  </si>
  <si>
    <t xml:space="preserve">Future Perfect y Future Progressive</t>
  </si>
  <si>
    <t xml:space="preserve">Misterios, vida urbana, quejas, situaciones cotidianas</t>
  </si>
  <si>
    <t xml:space="preserve">Puede hablar de acontecimientos futuros desde diferentes perspectivas temporales y formular hipotesis/predicciones</t>
  </si>
  <si>
    <t xml:space="preserve">Business Strategies</t>
  </si>
  <si>
    <t xml:space="preserve">Perfect Infinitives; other uses of infinitives</t>
  </si>
  <si>
    <t xml:space="preserve">Negocios, marketing, estrategias empresariales</t>
  </si>
  <si>
    <t xml:space="preserve">Puede hacer solicitudes, discutir estrategias y expresar ideas/propuestas profesionales</t>
  </si>
  <si>
    <t xml:space="preserve">Socially Conscious Business</t>
  </si>
  <si>
    <t xml:space="preserve">Passive Voice</t>
  </si>
  <si>
    <t xml:space="preserve">Responsabilidad social empresarial, negocios, sostenibilidad</t>
  </si>
  <si>
    <t xml:space="preserve">Puede explicar procesos y acciones empresariales enfocandose en lo que se hace y sus efectos</t>
  </si>
  <si>
    <t xml:space="preserve">Communication</t>
  </si>
  <si>
    <t xml:space="preserve">Phrasal Verbs: review</t>
  </si>
  <si>
    <t xml:space="preserve">Comunicacion, comunicacion intercultural, periodismo</t>
  </si>
  <si>
    <t xml:space="preserve">Puede desenvolverse en situaciones comunicativas mas complejas y comprender/utilizar phrasal verbs</t>
  </si>
  <si>
    <t xml:space="preserve">Medical Issues</t>
  </si>
  <si>
    <t xml:space="preserve">Infinitives: review</t>
  </si>
  <si>
    <t xml:space="preserve">Medicina, salud, tratamientos, medicina alternativa</t>
  </si>
  <si>
    <t xml:space="preserve">Puede discutir problemas medicos, tratamientos y expresar opiniones/recomendaciones</t>
  </si>
  <si>
    <t xml:space="preserve">Personality Types</t>
  </si>
  <si>
    <t xml:space="preserve">Estructuras de tiempos simples en contexto; revision</t>
  </si>
  <si>
    <t xml:space="preserve">Personalidad, psicologia, comportamiento</t>
  </si>
  <si>
    <t xml:space="preserve">Puede describir rasgos de personalidad, comparar tipos de personas y expresar opiniones</t>
  </si>
  <si>
    <t xml:space="preserve">How Smart Are You?</t>
  </si>
  <si>
    <t xml:space="preserve">Future tenses: review</t>
  </si>
  <si>
    <t xml:space="preserve">Inteligencia, aprendizaje, adquisicion de idiomas</t>
  </si>
  <si>
    <t xml:space="preserve">Puede discutir posibilidades futuras, hacer predicciones y argumentar sobre aprendizaje e inteligencia</t>
  </si>
  <si>
    <t xml:space="preserve">Architecture</t>
  </si>
  <si>
    <t xml:space="preserve">Simple tenses: review</t>
  </si>
  <si>
    <t xml:space="preserve">Arquitectura, diseno, construccion, proyectos</t>
  </si>
  <si>
    <t xml:space="preserve">Puede describir proyectos, hablar de arquitectura y discutir decisiones y preferencias profesionales — cierre de nivel</t>
  </si>
  <si>
    <t xml:space="preserve">ID pregunta</t>
  </si>
  <si>
    <t xml:space="preserve">Destreza</t>
  </si>
  <si>
    <t xml:space="preserve">Tipo</t>
  </si>
  <si>
    <t xml:space="preserve">Tema/Titulo (Reading-Listening)</t>
  </si>
  <si>
    <t xml:space="preserve">Unidad sugerida #</t>
  </si>
  <si>
    <t xml:space="preserve">Unidad sugerida - nombre</t>
  </si>
  <si>
    <t xml:space="preserve">Confianza</t>
  </si>
  <si>
    <t xml:space="preserve">Vista previa</t>
  </si>
  <si>
    <t xml:space="preserve">Revisado por profesor?</t>
  </si>
  <si>
    <t xml:space="preserve">UoL-A1-C01</t>
  </si>
  <si>
    <t xml:space="preserve">Language Use</t>
  </si>
  <si>
    <t xml:space="preserve">multichoice</t>
  </si>
  <si>
    <t xml:space="preserve">SIN CLASIFICAR</t>
  </si>
  <si>
    <t xml:space="preserve">Sin coincidencia</t>
  </si>
  <si>
    <t xml:space="preserve">Context The university timetable includes a 90-minute break in the middle of every teaching day. Students usually _____ lunch together in th</t>
  </si>
  <si>
    <t xml:space="preserve">UoL-A1-C02</t>
  </si>
  <si>
    <t xml:space="preserve">Baja (revisar)</t>
  </si>
  <si>
    <t xml:space="preserve">Context The last lecture of the day finishes at five o'clock in the afternoon. After their final class, most students _____ home to eat dinn</t>
  </si>
  <si>
    <t xml:space="preserve">UoL-A1-C03</t>
  </si>
  <si>
    <t xml:space="preserve">Context The university sports facilities are available to all students every afternoon and at weekends. Many students _____ a sport there af</t>
  </si>
  <si>
    <t xml:space="preserve">UoL-A1-C04</t>
  </si>
  <si>
    <t xml:space="preserve">Context The student health centre encourages all students to maintain an active and balanced lifestyle. The doctor recommends that students </t>
  </si>
  <si>
    <t xml:space="preserve">UoL-A1-C05</t>
  </si>
  <si>
    <t xml:space="preserve">Context After a long and tiring week of exams, students need some time to relax and switch off. Many students _____ a film at the cinema or </t>
  </si>
  <si>
    <t xml:space="preserve">UoL-A1-C06</t>
  </si>
  <si>
    <t xml:space="preserve">Context The student forgot her textbook at home. It was an important day. She decided to _____ a message to her classmate to ask if she coul</t>
  </si>
  <si>
    <t xml:space="preserve">UoL-A1-C07</t>
  </si>
  <si>
    <t xml:space="preserve">Context It was the first day of term and many new students were trying to find their classrooms. Several students _____ their way in the lar</t>
  </si>
  <si>
    <t xml:space="preserve">UoL-A1-C08</t>
  </si>
  <si>
    <t xml:space="preserve">Context The university is located several kilometres from the city centre where many students live. Every morning, Juliana _____ an early bu</t>
  </si>
  <si>
    <t xml:space="preserve">UoL-A1-C09</t>
  </si>
  <si>
    <t xml:space="preserve">Context Meeting new people can feel uncomfortable at first, especially in an unfamiliar environment. During orientation week, Diego found it</t>
  </si>
  <si>
    <t xml:space="preserve">UoL-A1-C10</t>
  </si>
  <si>
    <t xml:space="preserve">Context University students need to balance their studies with other important areas of their lives. Most students _____ time with their fri</t>
  </si>
  <si>
    <t xml:space="preserve">UoL-A1-C11</t>
  </si>
  <si>
    <t xml:space="preserve">Context Students who travel by public transport need to bring their study materials with them every day. Most students _____ a backpack to u</t>
  </si>
  <si>
    <t xml:space="preserve">UoL-A1-C12</t>
  </si>
  <si>
    <t xml:space="preserve">Context The professor encouraged all students to participate actively during lectures. "Don't be shy," she said. "Feel free to _____ a quest</t>
  </si>
  <si>
    <t xml:space="preserve">UoL-A1-G01</t>
  </si>
  <si>
    <t xml:space="preserve">Context My name is Valentina. I study at a university in the city and I love my programme. I _____ eighteen years old and I live with my fam</t>
  </si>
  <si>
    <t xml:space="preserve">UoL-A1-G02</t>
  </si>
  <si>
    <t xml:space="preserve">Context Daniel is studying in his first year at university. He works very hard and attends every class. His favourite professor _____ very p</t>
  </si>
  <si>
    <t xml:space="preserve">UoL-A1-G03</t>
  </si>
  <si>
    <t xml:space="preserve">Context María and I met during the first week of the academic year and we became very good friends. We _____ classmates in the same programm</t>
  </si>
  <si>
    <t xml:space="preserve">UoL-A1-G04</t>
  </si>
  <si>
    <t xml:space="preserve">Context A new student arrives at the faculty building. She looks lost and is searching for her classroom. "_____ you in the first-year group</t>
  </si>
  <si>
    <t xml:space="preserve">UoL-A1-G05</t>
  </si>
  <si>
    <t xml:space="preserve">Context Carlos has a brother called Andrés who lives and works in another city. Andrés _____ a student anymore. He already graduated several</t>
  </si>
  <si>
    <t xml:space="preserve">UoL-A1-G06</t>
  </si>
  <si>
    <t xml:space="preserve">Context It is the beginning of a new semester. Yesterday, Sofia went shopping for all her university materials. I _____ a new laptop, three </t>
  </si>
  <si>
    <t xml:space="preserve">UoL-A1-G07</t>
  </si>
  <si>
    <t xml:space="preserve">Context The librarian is helping a new student register for the borrowing service at the front desk. "_____ she got a valid student card wit</t>
  </si>
  <si>
    <t xml:space="preserve">UoL-A1-G08</t>
  </si>
  <si>
    <t xml:space="preserve">Alta (respuesta clave)</t>
  </si>
  <si>
    <t xml:space="preserve">Context Laura is applying for a customer service position at an international company in the city centre. She _____ speak English and French</t>
  </si>
  <si>
    <t xml:space="preserve">UoL-A1-G09</t>
  </si>
  <si>
    <t xml:space="preserve">Context The university cafeteria is the most popular place for students to eat between their morning classes. It _____ hot meals, sandwiches</t>
  </si>
  <si>
    <t xml:space="preserve">UoL-A1-G10</t>
  </si>
  <si>
    <t xml:space="preserve">Context Pedro follows a strict vegetarian diet for personal health and ethical reasons. He _____ meat, fish, or poultry of any kind. He only</t>
  </si>
  <si>
    <t xml:space="preserve">UoL-A1-G11</t>
  </si>
  <si>
    <t xml:space="preserve">Context Luisa is looking for a comfortable place to study that is close to where she lives. Luckily, _____ a quiet café on the corner of her</t>
  </si>
  <si>
    <t xml:space="preserve">UoL-A1-G12</t>
  </si>
  <si>
    <t xml:space="preserve">Context The new faculty building opened last year and students are very pleased with the modern facilities. _____ three computer labs, a lar</t>
  </si>
  <si>
    <t xml:space="preserve">UoL-A1-G13</t>
  </si>
  <si>
    <t xml:space="preserve">Context Natalia received some very exciting news this morning. A company offered her a new job. It is _____ internship at a technology compa</t>
  </si>
  <si>
    <t xml:space="preserve">UoL-A1-G14</t>
  </si>
  <si>
    <t xml:space="preserve">Context The English professor is well-known across the faculty for her innovative and engaging approach. _____ uses videos, games, and real </t>
  </si>
  <si>
    <t xml:space="preserve">UoL-A1-G15</t>
  </si>
  <si>
    <t xml:space="preserve">Context There is an important sign at the entrance of the university examination hall. The sign clearly states: "_____ electronic devices of</t>
  </si>
  <si>
    <t xml:space="preserve">UoL-A1-P01</t>
  </si>
  <si>
    <t xml:space="preserve">Context The first lesson of each day begins very early. Punctuality is essential for all students. All morning classes start _____ eight o'c</t>
  </si>
  <si>
    <t xml:space="preserve">UoL-A1-P02</t>
  </si>
  <si>
    <t xml:space="preserve">Context The faculty organises extra study sessions throughout the week to help students prepare for exams. The voluntary English conversatio</t>
  </si>
  <si>
    <t xml:space="preserve">UoL-A1-P03</t>
  </si>
  <si>
    <t xml:space="preserve">Context The university calendar divides the year into two distinct teaching periods separated by holidays. The second semester begins _____ </t>
  </si>
  <si>
    <t xml:space="preserve">UoL-A1-P04</t>
  </si>
  <si>
    <t xml:space="preserve">Context The professor is telling students about next week's practical session. "Our next class will be _____ the computer laboratory on the </t>
  </si>
  <si>
    <t xml:space="preserve">UoL-A1-P05</t>
  </si>
  <si>
    <t xml:space="preserve">Context A student cannot find an important document that he needs for his afternoon appointment. "Your student card is _____ the desk, next </t>
  </si>
  <si>
    <t xml:space="preserve">UoL-A1-P06</t>
  </si>
  <si>
    <t xml:space="preserve">Context The university has recently opened a modern new health and wellness centre for all students. The new centre is located _____ the spo</t>
  </si>
  <si>
    <t xml:space="preserve">UoL-A1-P07</t>
  </si>
  <si>
    <t xml:space="preserve">Context The graduation ceremony takes place outdoors in the university gardens every December. The graduating students stand _____ the main </t>
  </si>
  <si>
    <t xml:space="preserve">UoL-A1-P08</t>
  </si>
  <si>
    <t xml:space="preserve">Context The student break room is a small space where staff and students can relax during the day. It is located _____ the main library and </t>
  </si>
  <si>
    <t xml:space="preserve">UoL-A1-P09</t>
  </si>
  <si>
    <t xml:space="preserve">Context During the examination period, students choose different environments that suit their study style. Valentina always prefers to study</t>
  </si>
  <si>
    <t xml:space="preserve">UoL-A1-P10</t>
  </si>
  <si>
    <t xml:space="preserve">Context The student could not see the information on the board because someone tall was sitting near her. A student who was very tall was si</t>
  </si>
  <si>
    <t xml:space="preserve">UoL-A1-V01</t>
  </si>
  <si>
    <t xml:space="preserve">Context Catalina has a very strong and loving relationship with all the members of her extended family. Her mother's mother is her _____. Sh</t>
  </si>
  <si>
    <t xml:space="preserve">UoL-A1-V02</t>
  </si>
  <si>
    <t xml:space="preserve">Context Simón has always dreamed of helping sick people and saving lives in his community. After many years of university study, he became a</t>
  </si>
  <si>
    <t xml:space="preserve">UoL-A1-V03</t>
  </si>
  <si>
    <t xml:space="preserve">Context David needs to find several academic books and articles for an important assignment. He goes to the university _____ every afternoon</t>
  </si>
  <si>
    <t xml:space="preserve">UoL-A1-V04</t>
  </si>
  <si>
    <t xml:space="preserve">Context The reading room has strict rules to help everyone concentrate and work effectively. It is always very _____ inside. Students are no</t>
  </si>
  <si>
    <t xml:space="preserve">UoL-A1-V05</t>
  </si>
  <si>
    <t xml:space="preserve">Context The climate in this city changes dramatically between the summer and winter months. In December and January, the weather becomes ver</t>
  </si>
  <si>
    <t xml:space="preserve">UoL-A1-V06</t>
  </si>
  <si>
    <t xml:space="preserve">Context The main lecture hall is used for the biggest classes and all official university events. It is an extremely _____ room. More than t</t>
  </si>
  <si>
    <t xml:space="preserve">UoL-A1-V07</t>
  </si>
  <si>
    <t xml:space="preserve">Context Ana has a very organised daily schedule during the academic semester. She has all her classes in the _____, so she can use the after</t>
  </si>
  <si>
    <t xml:space="preserve">UoL-A1-V08</t>
  </si>
  <si>
    <t xml:space="preserve">Context After the accident on the sports field, the injured student needed urgent medical attention. An ambulance was called and took him to</t>
  </si>
  <si>
    <t xml:space="preserve">UoL-A1-V09</t>
  </si>
  <si>
    <t xml:space="preserve">Context The week of final examinations is by far the most demanding period of the academic year. By Thursday evening, most students feel com</t>
  </si>
  <si>
    <t xml:space="preserve">UoL-A1-V10</t>
  </si>
  <si>
    <t xml:space="preserve">Context The academic year at the university is divided into two separate study periods. The _____ semester runs from January to June, and th</t>
  </si>
  <si>
    <t xml:space="preserve">UoL-A1-V11</t>
  </si>
  <si>
    <t xml:space="preserve">Context The university offers many additional services to help students during their studies. English conversation sessions are completely _</t>
  </si>
  <si>
    <t xml:space="preserve">UoL-A1-V12</t>
  </si>
  <si>
    <t xml:space="preserve">Context Students need to know where their lessons take place before the semester begins. All practical sessions take place in a different __</t>
  </si>
  <si>
    <t xml:space="preserve">UoL-A1-V13</t>
  </si>
  <si>
    <t xml:space="preserve">Context The first year of university is a significant change from secondary school for most students. Many first-year students find the tran</t>
  </si>
  <si>
    <t xml:space="preserve">UoL-A2-C01</t>
  </si>
  <si>
    <t xml:space="preserve">Context The professor reminded students about the strict regulations for academic work at the end of class. "You must _____ your assignments</t>
  </si>
  <si>
    <t xml:space="preserve">UoL-A2-C02</t>
  </si>
  <si>
    <t xml:space="preserve">Context Students must demonstrate a minimum level of English before being permitted to advance to the next year. Those who _____ the languag</t>
  </si>
  <si>
    <t xml:space="preserve">UoL-A2-C03</t>
  </si>
  <si>
    <t xml:space="preserve">Context The professor operates a strict attendance policy across all her courses this academic year. Students who _____ more than three sess</t>
  </si>
  <si>
    <t xml:space="preserve">UoL-A2-C04</t>
  </si>
  <si>
    <t xml:space="preserve">Context The student association planned an outdoor event, but it had to be cancelled unexpectedly. There was _____ rain all morning and the </t>
  </si>
  <si>
    <t xml:space="preserve">UoL-A2-C05</t>
  </si>
  <si>
    <t xml:space="preserve">Context The communications module requires students to demonstrate their ability to speak formally in English. Each student must _____ a ten</t>
  </si>
  <si>
    <t xml:space="preserve">UoL-A2-C06</t>
  </si>
  <si>
    <t xml:space="preserve">Context Many students work part-time jobs in the evenings and at weekends to support their studies. Tomás works at a local restaurant every </t>
  </si>
  <si>
    <t xml:space="preserve">UoL-A2-C07</t>
  </si>
  <si>
    <t xml:space="preserve">Context University life involves many costs that students need to manage carefully on a tight budget. Most students _____ a significant amou</t>
  </si>
  <si>
    <t xml:space="preserve">UoL-A2-C08</t>
  </si>
  <si>
    <t xml:space="preserve">Context The faculty holds an annual competition to celebrate innovation and creativity among students. The engineering team was delighted to</t>
  </si>
  <si>
    <t xml:space="preserve">UoL-A2-C09</t>
  </si>
  <si>
    <t xml:space="preserve">Context Extracurricular activities are an excellent way to develop skills and meet new people at university. Many students _____ a sports cl</t>
  </si>
  <si>
    <t xml:space="preserve">UoL-A2-C10</t>
  </si>
  <si>
    <t xml:space="preserve">Context The examination regulations are explained clearly to all students at the start of every academic year. Any student who _____ a rule </t>
  </si>
  <si>
    <t xml:space="preserve">UoL-A2-C11</t>
  </si>
  <si>
    <t xml:space="preserve">Context The professor told students about a famous professional who overcame many obstacles. He explained that she worked extremely hard to </t>
  </si>
  <si>
    <t xml:space="preserve">UoL-A2-C12</t>
  </si>
  <si>
    <t xml:space="preserve">Context The university runs a range of free workshops designed to support students throughout their studies. Students are strongly encourage</t>
  </si>
  <si>
    <t xml:space="preserve">UoL-A2-G01</t>
  </si>
  <si>
    <t xml:space="preserve">Context Last semester was an extremely demanding period for all the students in the programme. Sofia _____ the library every single evening </t>
  </si>
  <si>
    <t xml:space="preserve">UoL-A2-G02</t>
  </si>
  <si>
    <t xml:space="preserve">Context The annual field trip to a nearby industrial facility was a highlight of the academic calendar. The journey _____ approximately two </t>
  </si>
  <si>
    <t xml:space="preserve">UoL-A2-G03</t>
  </si>
  <si>
    <t xml:space="preserve">Context Andrea needed to purchase several items before starting her laboratory course this term. She _____ a scientific calculator, safety g</t>
  </si>
  <si>
    <t xml:space="preserve">UoL-A2-G04</t>
  </si>
  <si>
    <t xml:space="preserve">Context The group of students was looking forward to the excursion for several weeks. Unfortunately, they _____ because the coach broke down</t>
  </si>
  <si>
    <t xml:space="preserve">UoL-A2-G05</t>
  </si>
  <si>
    <t xml:space="preserve">Context A student receives an urgent phone call from her flatmate while she is at the library. "I can't talk right now. I _____ an important</t>
  </si>
  <si>
    <t xml:space="preserve">UoL-A2-G06</t>
  </si>
  <si>
    <t xml:space="preserve">Context After finishing her degree, Valentina has very clear and specific plans for her professional future. She _____ apply for a postgradu</t>
  </si>
  <si>
    <t xml:space="preserve">UoL-A2-G07</t>
  </si>
  <si>
    <t xml:space="preserve">Context The professor is delivering a lecture about how technology is shaping the future of many professions. "Artificial intelligence _____</t>
  </si>
  <si>
    <t xml:space="preserve">UoL-A2-G08</t>
  </si>
  <si>
    <t xml:space="preserve">Context The recently renovated campus library has much better resources than the previous building. It is _____ than the old one and gives s</t>
  </si>
  <si>
    <t xml:space="preserve">UoL-A2-G09</t>
  </si>
  <si>
    <t xml:space="preserve">Context The university has received several national awards for academic excellence over recent years. Last year, independent reviewers offi</t>
  </si>
  <si>
    <t xml:space="preserve">UoL-A2-G10</t>
  </si>
  <si>
    <t xml:space="preserve">Context The first-year students were finding the academic writing requirements very challenging. The professor decided to create additional </t>
  </si>
  <si>
    <t xml:space="preserve">UoL-A2-G11</t>
  </si>
  <si>
    <t xml:space="preserve">Context Marcela is widely regarded as one of the most punctual and dedicated students in the programme. She _____ arrives late to any class.</t>
  </si>
  <si>
    <t xml:space="preserve">UoL-A2-G12</t>
  </si>
  <si>
    <t xml:space="preserve">Context Students who participate in clinical placements must adhere to a strict professional code of conduct. They _____ wear their full uni</t>
  </si>
  <si>
    <t xml:space="preserve">UoL-A2-G13</t>
  </si>
  <si>
    <t xml:space="preserve">Context The annual graduation ceremony was a deeply moving and memorable event for all those who attended. All the families in the audience </t>
  </si>
  <si>
    <t xml:space="preserve">UoL-A2-G14</t>
  </si>
  <si>
    <t xml:space="preserve">Context A classmate is feeling overwhelmed by the amount of work she has before the submission deadline. "Don't stress about it," says Diego</t>
  </si>
  <si>
    <t xml:space="preserve">UoL-A2-G15</t>
  </si>
  <si>
    <t xml:space="preserve">Context Dark clouds are rapidly filling the sky above the sports field where students are training. "Look at those clouds --- it _____ pour </t>
  </si>
  <si>
    <t xml:space="preserve">UoL-A2-P01</t>
  </si>
  <si>
    <t xml:space="preserve">Context Elena has demonstrated a remarkable natural talent for numbers and quantitative reasoning from a young age. She is extremely good __</t>
  </si>
  <si>
    <t xml:space="preserve">UoL-A2-P02</t>
  </si>
  <si>
    <t xml:space="preserve">Context Before choosing a degree programme, Miguel spent months exploring different professional possibilities. He had always been deeply in</t>
  </si>
  <si>
    <t xml:space="preserve">UoL-A2-P03</t>
  </si>
  <si>
    <t xml:space="preserve">Context Public speaking consistently ranks as one of the most common fears among university students worldwide. Many students admitted that </t>
  </si>
  <si>
    <t xml:space="preserve">UoL-A2-P04</t>
  </si>
  <si>
    <t xml:space="preserve">Context The student studied at two different institutions before she transferred to her current university. She said the approach to teachin</t>
  </si>
  <si>
    <t xml:space="preserve">UoL-A2-P05</t>
  </si>
  <si>
    <t xml:space="preserve">Context The student union conducted a survey to find out what activities students most wanted to get involved in. The majority of first-year</t>
  </si>
  <si>
    <t xml:space="preserve">UoL-A2-P06</t>
  </si>
  <si>
    <t xml:space="preserve">Context The graduation ceremony was a highly emotional occasion for the families of all the new graduates. Every parent in the audience said</t>
  </si>
  <si>
    <t xml:space="preserve">UoL-A2-P07</t>
  </si>
  <si>
    <t xml:space="preserve">Context The examination results have been taking much longer than expected to appear on the online portal. Several students are extremely wo</t>
  </si>
  <si>
    <t xml:space="preserve">UoL-A2-P08</t>
  </si>
  <si>
    <t xml:space="preserve">Context The student spent an hour comparing two different course structures before making her final decision. She concluded that the content</t>
  </si>
  <si>
    <t xml:space="preserve">UoL-A2-P09</t>
  </si>
  <si>
    <t xml:space="preserve">Context Not all students feel equally confident or competent in every subject they encounter at university. Rodrigo freely admits that he is</t>
  </si>
  <si>
    <t xml:space="preserve">UoL-A2-P10</t>
  </si>
  <si>
    <t xml:space="preserve">Context The student spent two weeks working on an essay, but then the submission system crashed. She was understandably very angry _____ los</t>
  </si>
  <si>
    <t xml:space="preserve">UoL-A2-V01</t>
  </si>
  <si>
    <t xml:space="preserve">Context Camila waited anxiously for weeks to hear back from the national scholarship committee. She was absolutely _____ when she finally re</t>
  </si>
  <si>
    <t xml:space="preserve">UoL-A2-V02</t>
  </si>
  <si>
    <t xml:space="preserve">Context Andrés has been saving money for several months to buy the equipment he needs for his studies. Unfortunately, the laptop model he wa</t>
  </si>
  <si>
    <t xml:space="preserve">UoL-A2-V03</t>
  </si>
  <si>
    <t xml:space="preserve">Context After six consecutive hours of studying at the library, Ricardo was beginning to feel very unwell. He had a terrible _____ that was </t>
  </si>
  <si>
    <t xml:space="preserve">UoL-A2-V04</t>
  </si>
  <si>
    <t xml:space="preserve">Context The academic conference included presentations from researchers across many different disciplines. The final speaker was extremely _</t>
  </si>
  <si>
    <t xml:space="preserve">UoL-A2-V05</t>
  </si>
  <si>
    <t xml:space="preserve">Context The career fair gave students direct access to professionals working in their field of study. Most students said it was extremely __</t>
  </si>
  <si>
    <t xml:space="preserve">UoL-A2-V06</t>
  </si>
  <si>
    <t xml:space="preserve">Context Sofia has always maintained a warm and friendly relationship with the people who live near her. Her _____ is a kind elderly woman wh</t>
  </si>
  <si>
    <t xml:space="preserve">UoL-A2-V07</t>
  </si>
  <si>
    <t xml:space="preserve">Context The new student accommodation was specifically designed with student wellbeing in mind. The rooms are spacious and very _____. Each </t>
  </si>
  <si>
    <t xml:space="preserve">UoL-A2-V08</t>
  </si>
  <si>
    <t xml:space="preserve">Context Before choosing a university programme, it is essential to research all available options carefully. The admissions office provides </t>
  </si>
  <si>
    <t xml:space="preserve">UoL-A2-V09</t>
  </si>
  <si>
    <t xml:space="preserve">Media (estructura de oracion)</t>
  </si>
  <si>
    <t xml:space="preserve">Context The student union organises events throughout the year to bring the university community together. The annual end-of-year celebratio</t>
  </si>
  <si>
    <t xml:space="preserve">UoL-A2-V10</t>
  </si>
  <si>
    <t xml:space="preserve">Context The professor handed back the corrected essays and reviewed the most common errors with the group. She pointed out that the most fre</t>
  </si>
  <si>
    <t xml:space="preserve">UoL-A2-V11</t>
  </si>
  <si>
    <t xml:space="preserve">Context The university recently invested a significant amount of money in upgrading its facilities. The new engineering laboratories are equ</t>
  </si>
  <si>
    <t xml:space="preserve">UoL-A2-V12</t>
  </si>
  <si>
    <t xml:space="preserve">Context Students in the first year receive a timetable at the beginning of each semester. It is important to follow your _____ carefully so </t>
  </si>
  <si>
    <t xml:space="preserve">UoL-A2-V13</t>
  </si>
  <si>
    <t xml:space="preserve">Context The coastal city where the university is located attracts thousands of visitors every year. The historic centre is absolutely _____.</t>
  </si>
  <si>
    <t xml:space="preserve">UoL-B1-C01</t>
  </si>
  <si>
    <t xml:space="preserve">B1</t>
  </si>
  <si>
    <t xml:space="preserve">Context The graduating class selected one student to represent all of them at the formal ceremony. She was nervous but managed to _____ a co</t>
  </si>
  <si>
    <t xml:space="preserve">UoL-B1-C02</t>
  </si>
  <si>
    <t xml:space="preserve">Context Sofia wants to work in international business after she graduates from university. She took a summer internship abroad in order to _</t>
  </si>
  <si>
    <t xml:space="preserve">UoL-B1-C03</t>
  </si>
  <si>
    <t xml:space="preserve">Context The internship coordinator emphasised the importance of gaining practical experience before graduating. Working in a professional en</t>
  </si>
  <si>
    <t xml:space="preserve">UoL-B1-C04</t>
  </si>
  <si>
    <t xml:space="preserve">Context The student representative attended the faculty board meeting to speak on behalf of her fellow students. She _____ several serious c</t>
  </si>
  <si>
    <t xml:space="preserve">UoL-B1-C05</t>
  </si>
  <si>
    <t xml:space="preserve">Context The new restaurant downtown has become extremely popular in just a few months. Because of its sudden popularity, the owners now ____</t>
  </si>
  <si>
    <t xml:space="preserve">UoL-B1-C06</t>
  </si>
  <si>
    <t xml:space="preserve">Context The transition from secondary school to higher education presents students with many new difficulties. Students who develop strong o</t>
  </si>
  <si>
    <t xml:space="preserve">UoL-B1-C07</t>
  </si>
  <si>
    <t xml:space="preserve">Context The student had set herself very specific targets at the start of each academic year. By the end of her degree, she had _____ every </t>
  </si>
  <si>
    <t xml:space="preserve">UoL-B1-C08</t>
  </si>
  <si>
    <t xml:space="preserve">Context Camila is working on an important project that must be finished by Friday. She has been working extra hours every day this week to m</t>
  </si>
  <si>
    <t xml:space="preserve">UoL-B1-C09</t>
  </si>
  <si>
    <t xml:space="preserve">Context During the team meeting, everyone was asked to give their thoughts about the new proposal. Even the quietest member of the team deci</t>
  </si>
  <si>
    <t xml:space="preserve">UoL-B1-C10</t>
  </si>
  <si>
    <t xml:space="preserve">Context The department takes academic integrity very seriously and expects all students to behave responsibly. Faculty members work hard to </t>
  </si>
  <si>
    <t xml:space="preserve">UoL-B1-C11</t>
  </si>
  <si>
    <t xml:space="preserve">Context Reading widely outside the core curriculum is strongly encouraged by all the teaching staff. Students who _____ their knowledge beyo</t>
  </si>
  <si>
    <t xml:space="preserve">UoL-B1-C12</t>
  </si>
  <si>
    <t xml:space="preserve">Context Many students choose their degree based on the professional path they hope to follow after graduation. She decided to _____ a career</t>
  </si>
  <si>
    <t xml:space="preserve">UoL-B1-G01</t>
  </si>
  <si>
    <t xml:space="preserve">Context The professor is one of the most respected and experienced members of the teaching staff. She has been teaching Environmental Engine</t>
  </si>
  <si>
    <t xml:space="preserve">UoL-B1-G02</t>
  </si>
  <si>
    <t xml:space="preserve">Context The research group has been working intensively on their environmental project for the past eight weeks. They have _____ completed t</t>
  </si>
  <si>
    <t xml:space="preserve">UoL-B1-G03</t>
  </si>
  <si>
    <t xml:space="preserve">Context Technology has completely transformed the way that students study and access information. Before smartphones became widespread, stud</t>
  </si>
  <si>
    <t xml:space="preserve">UoL-B1-G04</t>
  </si>
  <si>
    <t xml:space="preserve">Context The head of the faculty explained the serious academic consequences of persistent absenteeism. "If students miss more than twenty pe</t>
  </si>
  <si>
    <t xml:space="preserve">UoL-B1-G05</t>
  </si>
  <si>
    <t xml:space="preserve">Context During a career guidance workshop, the counsellor asked students to think about their professional goals. "If you _____ any career i</t>
  </si>
  <si>
    <t xml:space="preserve">UoL-B1-G06</t>
  </si>
  <si>
    <t xml:space="preserve">Context The research team is currently reviewing the preliminary data collected from their field study. The early results are promising, but</t>
  </si>
  <si>
    <t xml:space="preserve">UoL-B1-G07</t>
  </si>
  <si>
    <t xml:space="preserve">Context The institution is celebrating the achievements of its most distinguished graduates at a formal ceremony. The keynote speaker, _____</t>
  </si>
  <si>
    <t xml:space="preserve">UoL-B1-G08</t>
  </si>
  <si>
    <t xml:space="preserve">Context The engineering students were in the middle of a critical laboratory experiment that afternoon. They _____ their measurements carefu</t>
  </si>
  <si>
    <t xml:space="preserve">UoL-B1-G09</t>
  </si>
  <si>
    <t xml:space="preserve">Context Law students in the faculty have access to a rich variety of extracurricular activities throughout the year. Most of them greatly en</t>
  </si>
  <si>
    <t xml:space="preserve">UoL-B1-G10</t>
  </si>
  <si>
    <t xml:space="preserve">Context The institution has earned a strong and well-deserved national reputation for technical education. It _____ as one of the leading un</t>
  </si>
  <si>
    <t xml:space="preserve">UoL-B1-G11</t>
  </si>
  <si>
    <t xml:space="preserve">Context After the lecture on climate change, students were discussing the key points that had been raised. The professor said that global te</t>
  </si>
  <si>
    <t xml:space="preserve">UoL-B1-G12</t>
  </si>
  <si>
    <t xml:space="preserve">Context The university received a substantial government grant to develop its research infrastructure. _____, the administration confirmed t</t>
  </si>
  <si>
    <t xml:space="preserve">UoL-B1-G13</t>
  </si>
  <si>
    <t xml:space="preserve">Context The interdisciplinary research team has shown tremendous dedication throughout the entire academic year. They _____ on this project </t>
  </si>
  <si>
    <t xml:space="preserve">UoL-B1-G14</t>
  </si>
  <si>
    <t xml:space="preserve">Context The competitive scholarship programme has very high entry requirements that not all students can meet. Unfortunately, the applicant'</t>
  </si>
  <si>
    <t xml:space="preserve">UoL-B1-G15</t>
  </si>
  <si>
    <t xml:space="preserve">Context A student has been preparing intensively for the regional public speaking competition for weeks. Her tutor told her that she was now</t>
  </si>
  <si>
    <t xml:space="preserve">UoL-B1-P01</t>
  </si>
  <si>
    <t xml:space="preserve">Context The newly appointed head of the research centre has extensive experience in academic leadership. She is directly responsible _____ m</t>
  </si>
  <si>
    <t xml:space="preserve">UoL-B1-P02</t>
  </si>
  <si>
    <t xml:space="preserve">Context The outcome of the collaborative project remains uncertain at this intermediate stage. Whether the team achieves its targets will la</t>
  </si>
  <si>
    <t xml:space="preserve">UoL-B1-P03</t>
  </si>
  <si>
    <t xml:space="preserve">Context The university introduced a revised attendance policy at the beginning of the current academic year. The regulations state that exce</t>
  </si>
  <si>
    <t xml:space="preserve">UoL-B1-P04</t>
  </si>
  <si>
    <t xml:space="preserve">Context The student had attempted the professional language certification twice before without passing. After months of intensive preparatio</t>
  </si>
  <si>
    <t xml:space="preserve">UoL-B1-P05</t>
  </si>
  <si>
    <t xml:space="preserve">Context University life involves managing multiple deadlines, social pressures, and financial concerns simultaneously. Students who build st</t>
  </si>
  <si>
    <t xml:space="preserve">UoL-B1-P06</t>
  </si>
  <si>
    <t xml:space="preserve">Context The student had missed an important meeting with her supervisor without giving any prior warning. She sent a formal email to apologi</t>
  </si>
  <si>
    <t xml:space="preserve">UoL-B1-P07</t>
  </si>
  <si>
    <t xml:space="preserve">Context The final weeks of the semester are the most critical period for all students' academic performance. The professor advised the class</t>
  </si>
  <si>
    <t xml:space="preserve">UoL-B1-P08</t>
  </si>
  <si>
    <t xml:space="preserve">Context The international exchange programme is one of the most competitive opportunities available to students. Students who _____ in the s</t>
  </si>
  <si>
    <t xml:space="preserve">UoL-B1-P09</t>
  </si>
  <si>
    <t xml:space="preserve">Context The lecturer presented two contrasting theories about urban planning during the seminar. Most students said they agreed _____ the se</t>
  </si>
  <si>
    <t xml:space="preserve">UoL-B1-P10</t>
  </si>
  <si>
    <t xml:space="preserve">Context The student representative gathered feedback from peers to present at the monthly faculty meeting. Many students were complaining __</t>
  </si>
  <si>
    <t xml:space="preserve">UoL-B1-V01</t>
  </si>
  <si>
    <t xml:space="preserve">Context After finishing her degree, Camila applied for several positions in different companies. She finally found a great job _____ at a co</t>
  </si>
  <si>
    <t xml:space="preserve">UoL-B1-V02</t>
  </si>
  <si>
    <t xml:space="preserve">Context A public health researcher is studying the relationship between lifestyle habits and academic performance. She found that chronic st</t>
  </si>
  <si>
    <t xml:space="preserve">UoL-B1-V03</t>
  </si>
  <si>
    <t xml:space="preserve">Context Working as a student representative in the faculty council is a demanding and serious role. It comes with significant _____ because </t>
  </si>
  <si>
    <t xml:space="preserve">UoL-B1-V04</t>
  </si>
  <si>
    <t xml:space="preserve">Context The career fair this year featured talks and exhibits from professionals across many different sectors. Students said the presentati</t>
  </si>
  <si>
    <t xml:space="preserve">UoL-B1-V05</t>
  </si>
  <si>
    <t xml:space="preserve">Context The student union has been campaigning for improved working conditions for students on campus. They are calling on the administratio</t>
  </si>
  <si>
    <t xml:space="preserve">UoL-B1-V06</t>
  </si>
  <si>
    <t xml:space="preserve">Context A major national transport disruption made it impossible to hold the scheduled academic events. The regional student conference was </t>
  </si>
  <si>
    <t xml:space="preserve">UoL-B1-V07</t>
  </si>
  <si>
    <t xml:space="preserve">Context The engineering team worked for two years on a project that attracted national media attention. Winning the national innovation priz</t>
  </si>
  <si>
    <t xml:space="preserve">UoL-B1-V08</t>
  </si>
  <si>
    <t xml:space="preserve">Context The community health outreach programme has been running for five years. The project has been extremely _____ in improving health li</t>
  </si>
  <si>
    <t xml:space="preserve">UoL-B1-V09</t>
  </si>
  <si>
    <t xml:space="preserve">Context Diego needs to choose a time for his weekly meeting with his academic advisor. He prefers Tuesday afternoons because it is the most </t>
  </si>
  <si>
    <t xml:space="preserve">UoL-B1-V10</t>
  </si>
  <si>
    <t xml:space="preserve">Context The law student was preparing her argument for the moot court competition. A lawyer's argument is only as strong as the quality of t</t>
  </si>
  <si>
    <t xml:space="preserve">UoL-B1-V11</t>
  </si>
  <si>
    <t xml:space="preserve">Context The engineering team was tasked with redesigning the production process to reduce costs. Their new method was far more _____ than th</t>
  </si>
  <si>
    <t xml:space="preserve">UoL-B1-V12</t>
  </si>
  <si>
    <t xml:space="preserve">Context Ana is choosing a new laptop for her university work and wants one that will not break down often. She decided to buy a well-known b</t>
  </si>
  <si>
    <t xml:space="preserve">UoL-B1-V13</t>
  </si>
  <si>
    <t xml:space="preserve">Context Pedro has been practicing English every day for the past six months. His teacher noticed a big _____ in his speaking skills during t</t>
  </si>
  <si>
    <t xml:space="preserve">UoL-B2-C01</t>
  </si>
  <si>
    <t xml:space="preserve">Context A group of university students organized a campaign about the importance of recycling on campus. Their goal was to _____ awareness a</t>
  </si>
  <si>
    <t xml:space="preserve">UoL-B2-C02</t>
  </si>
  <si>
    <t xml:space="preserve">Context The research team has invested years of effort into developing an innovative energy storage system. Their persistence has finally be</t>
  </si>
  <si>
    <t xml:space="preserve">UoL-B2-C03</t>
  </si>
  <si>
    <t xml:space="preserve">Context After years of consistent research, a young scientist finally published a study that attracted attention from experts around the wor</t>
  </si>
  <si>
    <t xml:space="preserve">UoL-B2-C04</t>
  </si>
  <si>
    <t xml:space="preserve">Context The vocational training initiative was created to address a serious and well-documented skills shortage. Its primary aim is to _____</t>
  </si>
  <si>
    <t xml:space="preserve">UoL-B2-C05</t>
  </si>
  <si>
    <t xml:space="preserve">Context The committee spent several hours discussing different options for the new company policy. After a long debate, the members were fin</t>
  </si>
  <si>
    <t xml:space="preserve">UoL-B2-C06</t>
  </si>
  <si>
    <t xml:space="preserve">Context The university senate convened an emergency meeting to discuss a growing problem among the student body. The rector emphasised the i</t>
  </si>
  <si>
    <t xml:space="preserve">UoL-B2-C07</t>
  </si>
  <si>
    <t xml:space="preserve">Context The new sports science department began working with student athletes to improve their competitive results. The training programme w</t>
  </si>
  <si>
    <t xml:space="preserve">UoL-B2-C08</t>
  </si>
  <si>
    <t xml:space="preserve">Context The company's new advertising campaign used bright colors and an unusual slogan. The unusual approach managed to _____ attention fro</t>
  </si>
  <si>
    <t xml:space="preserve">UoL-B2-C09</t>
  </si>
  <si>
    <t xml:space="preserve">Context The laboratory had been operating with outdated equipment for several years due to budget constraints. The team finally _____ fundin</t>
  </si>
  <si>
    <t xml:space="preserve">UoL-B2-C10</t>
  </si>
  <si>
    <t xml:space="preserve">Context The interdisciplinary module was designed to expose students to perspectives from different fields. The aim was to _____ students' u</t>
  </si>
  <si>
    <t xml:space="preserve">UoL-B2-C11</t>
  </si>
  <si>
    <t xml:space="preserve">Context Employers look for candidates who show genuine dedication to their professional development. Students can _____ their commitment to </t>
  </si>
  <si>
    <t xml:space="preserve">UoL-B2-C12</t>
  </si>
  <si>
    <t xml:space="preserve">Context Regulators have given the industry a five-year timeline to eliminate the use of harmful substances. The new legislation requires all</t>
  </si>
  <si>
    <t xml:space="preserve">UoL-B2-G01</t>
  </si>
  <si>
    <t xml:space="preserve">Context A technology company failed to secure a major government contract despite months of preparation. If the development team _____ the p</t>
  </si>
  <si>
    <t xml:space="preserve">UoL-B2-G02</t>
  </si>
  <si>
    <t xml:space="preserve">Context A talented engineer turned down a prestigious international opportunity during her final year of study. If she _____ that position, </t>
  </si>
  <si>
    <t xml:space="preserve">UoL-B2-G03</t>
  </si>
  <si>
    <t xml:space="preserve">Context The researcher is deeply frustrated by the restrictions placed on funding for independent scientific projects. She wishes the govern</t>
  </si>
  <si>
    <t xml:space="preserve">UoL-B2-G04</t>
  </si>
  <si>
    <t xml:space="preserve">Context The graduate is reflecting honestly on some of the decisions he made during his time at university. He wishes he _____ more time bui</t>
  </si>
  <si>
    <t xml:space="preserve">UoL-B2-G05</t>
  </si>
  <si>
    <t xml:space="preserve">Context The findings of the two-year collaborative study on water quality have attracted considerable attention. The results _____ in severa</t>
  </si>
  <si>
    <t xml:space="preserve">UoL-B2-G06</t>
  </si>
  <si>
    <t xml:space="preserve">Context The institution enforces strict and non-negotiable regulations on the submission of academic work. All dissertations _____ through a</t>
  </si>
  <si>
    <t xml:space="preserve">UoL-B2-G07</t>
  </si>
  <si>
    <t xml:space="preserve">Context The regional innovation award was presented at a formal ceremony attended by industry leaders. By the time the panel announced the w</t>
  </si>
  <si>
    <t xml:space="preserve">UoL-B2-G08</t>
  </si>
  <si>
    <t xml:space="preserve">Context The university completed several campus improvements last year. Students have noticed the difference in many buildings. The main lib</t>
  </si>
  <si>
    <t xml:space="preserve">UoL-B2-G09</t>
  </si>
  <si>
    <t xml:space="preserve">Context Marco struggled with his first year at university. He eventually adapted well to his studies. _____ several difficulties at the begi</t>
  </si>
  <si>
    <t xml:space="preserve">UoL-B2-G10</t>
  </si>
  <si>
    <t xml:space="preserve">Context The research consortium is experiencing significant delays due to complications with the data collection phase. They have reluctantl</t>
  </si>
  <si>
    <t xml:space="preserve">UoL-B2-G11</t>
  </si>
  <si>
    <t xml:space="preserve">Context The student submitted an outstanding dissertation that left every member of the evaluation panel impressed. She _____ an enormous am</t>
  </si>
  <si>
    <t xml:space="preserve">UoL-B2-G12</t>
  </si>
  <si>
    <t xml:space="preserve">Context The report submitted to the board of directors contains numerous factual errors and serious inconsistencies. The author _____ it car</t>
  </si>
  <si>
    <t xml:space="preserve">UoL-B2-G13</t>
  </si>
  <si>
    <t xml:space="preserve">Context The organisation is undergoing a comprehensive digital overhaul in preparation for a major inspection. The director has _____ all in</t>
  </si>
  <si>
    <t xml:space="preserve">UoL-B2-G14</t>
  </si>
  <si>
    <t xml:space="preserve">Context During a routine check, the manager wanted to know whether a report had already been submitted. The manager asked the new employee _</t>
  </si>
  <si>
    <t xml:space="preserve">UoL-B2-G15</t>
  </si>
  <si>
    <t xml:space="preserve">Context The doctoral candidate is making excellent progress and is expected to complete her work on schedule. By this time next year, she __</t>
  </si>
  <si>
    <t xml:space="preserve">UoL-B2-P01</t>
  </si>
  <si>
    <t xml:space="preserve">Context A controversy emerged after the publication of the annual financial audit of the institution. Several senior administrators were for</t>
  </si>
  <si>
    <t xml:space="preserve">UoL-B2-P02</t>
  </si>
  <si>
    <t xml:space="preserve">Context The research supervisor has exceptionally high standards for all academic work produced in her department. She insists _____ rigorou</t>
  </si>
  <si>
    <t xml:space="preserve">UoL-B2-P03</t>
  </si>
  <si>
    <t xml:space="preserve">Context The new postgraduate programme was designed in close collaboration with leading industry partners. It _____ four advanced taught mod</t>
  </si>
  <si>
    <t xml:space="preserve">UoL-B2-P04</t>
  </si>
  <si>
    <t xml:space="preserve">Context Several international companies have expressed strong interest in the university's applied research capabilities. The firms are eage</t>
  </si>
  <si>
    <t xml:space="preserve">UoL-B2-P05</t>
  </si>
  <si>
    <t xml:space="preserve">Context The student volunteering scheme has had a measurable positive impact on several local communities. Each participant _____ to buildin</t>
  </si>
  <si>
    <t xml:space="preserve">UoL-B2-P06</t>
  </si>
  <si>
    <t xml:space="preserve">Context Institutions that receive government funding must adhere strictly to a range of regulatory requirements. Any organisation that fails</t>
  </si>
  <si>
    <t xml:space="preserve">UoL-B2-P07</t>
  </si>
  <si>
    <t xml:space="preserve">Context The faculty senate debated the proposed changes to the examination format at considerable length. Several senior professors strongly</t>
  </si>
  <si>
    <t xml:space="preserve">UoL-B2-P08</t>
  </si>
  <si>
    <t xml:space="preserve">Context The research team published their first findings and received very positive feedback from the academic community. They plan to _____</t>
  </si>
  <si>
    <t xml:space="preserve">UoL-B2-P09</t>
  </si>
  <si>
    <t xml:space="preserve">Context The quality assurance team was given a six-month mandate to evaluate all academic programmes. They _____ out a thorough review of as</t>
  </si>
  <si>
    <t xml:space="preserve">UoL-B2-P10</t>
  </si>
  <si>
    <t xml:space="preserve">Context The consultant was asked to advise the organisation on developing a new strategic plan. She _____ on over twenty years of experience</t>
  </si>
  <si>
    <t xml:space="preserve">UoL-B2-V01</t>
  </si>
  <si>
    <t xml:space="preserve">Context A team of researchers studied customer satisfaction before and after a company introduced a new training program for its staff. The </t>
  </si>
  <si>
    <t xml:space="preserve">UoL-B2-V02</t>
  </si>
  <si>
    <t xml:space="preserve">Context A running coach is reviewing the performance records of two athletes preparing for a competition. One athlete's times vary a lot fro</t>
  </si>
  <si>
    <t xml:space="preserve">UoL-B2-V03</t>
  </si>
  <si>
    <t xml:space="preserve">Context The review committee examined the programme from multiple perspectives before reaching their conclusions. The _____ concern was whet</t>
  </si>
  <si>
    <t xml:space="preserve">UoL-B2-V04</t>
  </si>
  <si>
    <t xml:space="preserve">Context The research ethics committee spent three months carefully reviewing the controversial proposal. After extensive deliberation, they </t>
  </si>
  <si>
    <t xml:space="preserve">UoL-B2-V05</t>
  </si>
  <si>
    <t xml:space="preserve">Context The trade agreement signed between the two countries ended decades of economic tension. Commentators across the political spectrum d</t>
  </si>
  <si>
    <t xml:space="preserve">UoL-B2-V06</t>
  </si>
  <si>
    <t xml:space="preserve">Context The longitudinal study followed five hundred graduates across the first decade of their careers. It revealed a _____ correlation bet</t>
  </si>
  <si>
    <t xml:space="preserve">UoL-B2-V07</t>
  </si>
  <si>
    <t xml:space="preserve">Context Some academics argue that overreliance on technology may weaken students' independent thinking. They suggest that excessive use of a</t>
  </si>
  <si>
    <t xml:space="preserve">UoL-B2-V08</t>
  </si>
  <si>
    <t xml:space="preserve">Context A company wants to introduce a new software system, but several long-time employees still prefer the old one. Many of the older staf</t>
  </si>
  <si>
    <t xml:space="preserve">UoL-B2-V09</t>
  </si>
  <si>
    <t xml:space="preserve">Context During the storm season, certain coastal towns experience much more damage than others. Communities built close to the shoreline are</t>
  </si>
  <si>
    <t xml:space="preserve">UoL-B2-V10</t>
  </si>
  <si>
    <t xml:space="preserve">Context City officials met to discuss the growing problem of traffic congestion in the downtown area. The council proposed several new polic</t>
  </si>
  <si>
    <t xml:space="preserve">UoL-B2-V11</t>
  </si>
  <si>
    <t xml:space="preserve">Context The research paper drew on contributions from scholars working across three different disciplines. In their conclusion, the authors </t>
  </si>
  <si>
    <t xml:space="preserve">UoL-B2-V12</t>
  </si>
  <si>
    <t xml:space="preserve">Context The quality assurance department is responsible for maintaining the institution's academic standards. Its core function is to _____ </t>
  </si>
  <si>
    <t xml:space="preserve">UoL-B2-V13</t>
  </si>
  <si>
    <t xml:space="preserve">Context There is growing pressure on organisations to be more open about how they make important decisions. Stakeholders are demanding that </t>
  </si>
  <si>
    <t xml:space="preserve">A1_Reading_Text1_Marta's daily routine</t>
  </si>
  <si>
    <t xml:space="preserve">cloze</t>
  </si>
  <si>
    <t xml:space="preserve">Marta's daily routine</t>
  </si>
  <si>
    <t xml:space="preserve">Marta wakes up at 6:30 every morning. First, she drinks a cup of coffee and reads the news on her phone. At 7:15, she leaves home and walks </t>
  </si>
  <si>
    <t xml:space="preserve">A1_Reading_Text2_Regional train schedule</t>
  </si>
  <si>
    <t xml:space="preserve">Regional train schedule</t>
  </si>
  <si>
    <t xml:space="preserve">1 How much does the 1:15 PM ticket cost? {1:MULTICHOICE_V:$3~$3.50~=$4~$4.50} 2 Someone wants to save money and doesn't mind extra stops. Wh</t>
  </si>
  <si>
    <t xml:space="preserve">A1_Reading_Text3_The Torres family weekend</t>
  </si>
  <si>
    <t xml:space="preserve">The Torres family weekend</t>
  </si>
  <si>
    <t xml:space="preserve">Every weekend, the Torres family does something different. On Saturday mornings, the children clean their rooms and help with breakfast. In </t>
  </si>
  <si>
    <t xml:space="preserve">A1_Reading_Text4_Grocery store receipt</t>
  </si>
  <si>
    <t xml:space="preserve">Grocery store receipt</t>
  </si>
  <si>
    <t xml:space="preserve">1 How did the customer pay? {1:MULTICHOICE_V:Cash~=Card~Check~App} 2 What was the total before the discount coupon was used? {1:MULTICHOICE_</t>
  </si>
  <si>
    <t xml:space="preserve">A1_Reading_Text5_Clinic appointment card</t>
  </si>
  <si>
    <t xml:space="preserve">Clinic appointment card</t>
  </si>
  <si>
    <t xml:space="preserve">1 What does the patient need to bring? {1:MULTICHOICE_V:Money only~=ID card and insurance card~A gift~Medicine} 2 What time does Diego need </t>
  </si>
  <si>
    <t xml:space="preserve">A1_Reading_Text6_Julia's painting class</t>
  </si>
  <si>
    <t xml:space="preserve">Julia's painting class</t>
  </si>
  <si>
    <t xml:space="preserve">Every Wednesday evening, Julia goes to a painting class near her house. She started three months ago because she wanted a new hobby. The tea</t>
  </si>
  <si>
    <t xml:space="preserve">A1_Reading_Text7_Weekend trip itinerary</t>
  </si>
  <si>
    <t xml:space="preserve">Weekend trip itinerary</t>
  </si>
  <si>
    <t xml:space="preserve">1 Where do they have dinner on Saturday? {1:MULTICHOICE_V:Hillside Inn~=Mario's restaurant~Green Hill~Lakeview} 2 How long does the bus trip</t>
  </si>
  <si>
    <t xml:space="preserve">A1_Reading_Text8_Camila's cat Luna</t>
  </si>
  <si>
    <t xml:space="preserve">Camila's cat Luna</t>
  </si>
  <si>
    <t xml:space="preserve">Camila has a cat named Luna. Last week, Luna stopped eating and seemed very tired. Camila got worried and took her to the vet the next morni</t>
  </si>
  <si>
    <t xml:space="preserve">A1_Reading_Text9_Westfield School week</t>
  </si>
  <si>
    <t xml:space="preserve">Westfield School week</t>
  </si>
  <si>
    <t xml:space="preserve">1 Where is the field trip on Wednesday? {1:MULTICHOICE_V:=Science Museum~Art Museum~City Park~Zoo} 2 What do students need to bring on Frida</t>
  </si>
  <si>
    <t xml:space="preserve">A1_Reading_Text10_Riverside community notice board</t>
  </si>
  <si>
    <t xml:space="preserve">Riverside community notice board</t>
  </si>
  <si>
    <t xml:space="preserve">1 What color is the lost cat? {1:MULTICHOICE_V:Black~=Gray with white paws~Orange~White} 2 The parking lot is closed next week. What can peo</t>
  </si>
  <si>
    <t xml:space="preserve">A1_Reading_Text11_Pedro's bakery job</t>
  </si>
  <si>
    <t xml:space="preserve">Pedro's bakery job</t>
  </si>
  <si>
    <t xml:space="preserve">Pedro works at a small bakery in the mornings. He arrives at 5:00 AM to help bake bread before the shop opens. Customers start coming in at </t>
  </si>
  <si>
    <t xml:space="preserve">A1_Reading_Text12_Weekly weather in Riverton</t>
  </si>
  <si>
    <t xml:space="preserve">Weekly weather in Riverton</t>
  </si>
  <si>
    <t xml:space="preserve">1 Which day has rain? {1:MULTICHOICE_V:Monday~=Wednesday~Thursday~Friday} 2 Which day is best for a picnic outside? {1:MULTICHOICE_V:Tuesday</t>
  </si>
  <si>
    <t xml:space="preserve">A1_Reading_Text13_Grandpa's birthday</t>
  </si>
  <si>
    <t xml:space="preserve">Grandpa's birthday</t>
  </si>
  <si>
    <t xml:space="preserve">Yesterday was Grandpa's 70th birthday. The whole family came together to celebrate. There was a big cake, music, and many photos. Grandpa sa</t>
  </si>
  <si>
    <t xml:space="preserve">A2_Reading_Text1_Daniel's remote work change</t>
  </si>
  <si>
    <t xml:space="preserve">Daniel's remote work change</t>
  </si>
  <si>
    <t xml:space="preserve">Two years ago, Daniel worked in a busy office downtown. Every day, he spent almost an hour in traffic before starting his job. Last year, hi</t>
  </si>
  <si>
    <t xml:space="preserve">A2_Reading_Text2_The Riverdale Hawks' championship</t>
  </si>
  <si>
    <t xml:space="preserve">The Riverdale Hawks' championship</t>
  </si>
  <si>
    <t xml:space="preserve">The Riverdale Hawks are a local basketball team from a small town. For many years, they never won an important game, but fans still came to </t>
  </si>
  <si>
    <t xml:space="preserve">A2_Reading_Text3_Ana's bakery decision</t>
  </si>
  <si>
    <t xml:space="preserve">Ana's bakery decision</t>
  </si>
  <si>
    <t xml:space="preserve">Ana worked as an accountant for ten years, but she never felt happy with her job. She always loved baking bread and cakes for her family on </t>
  </si>
  <si>
    <t xml:space="preserve">A2_Reading_Text4_A simple habit for better sleep</t>
  </si>
  <si>
    <t xml:space="preserve">A simple habit for better sleep</t>
  </si>
  <si>
    <t xml:space="preserve">Many people struggle to sleep well because they use their phones late at night. Doctors say that phone screens produce a type of light that </t>
  </si>
  <si>
    <t xml:space="preserve">A2_Reading_Text5_Neighborhood recycling program</t>
  </si>
  <si>
    <t xml:space="preserve">Neighborhood recycling program</t>
  </si>
  <si>
    <t xml:space="preserve">Last year, the city started a new recycling program in several neighborhoods. Each household received a special blue bin for paper, plastic,</t>
  </si>
  <si>
    <t xml:space="preserve">A2_Reading_Text6_Learning a new app for work</t>
  </si>
  <si>
    <t xml:space="preserve">Learning a new app for work</t>
  </si>
  <si>
    <t xml:space="preserve">When Laura's company introduced a new project management app, most employees felt nervous about learning it. Laura didn't know this kind of </t>
  </si>
  <si>
    <t xml:space="preserve">A2_Reading_Text7_A community charity event</t>
  </si>
  <si>
    <t xml:space="preserve">A community charity event</t>
  </si>
  <si>
    <t xml:space="preserve">Every December, a small charity in Green Hill organizes a holiday market to raise money for local families in need. Volunteers spend weeks p</t>
  </si>
  <si>
    <t xml:space="preserve">A2_Reading_Text8_Learning to cook a family recipe</t>
  </si>
  <si>
    <t xml:space="preserve">Learning to cook a family recipe</t>
  </si>
  <si>
    <t xml:space="preserve">Marco never learned to cook when he lived with his parents because his mother always prepared the meals. After he moved to his own apartment</t>
  </si>
  <si>
    <t xml:space="preserve">A2_Reading_Text9_A weekend trip to the beach</t>
  </si>
  <si>
    <t xml:space="preserve">A weekend trip to the beach</t>
  </si>
  <si>
    <t xml:space="preserve">Sofia and her brother decided to visit the beach for the first time in two years. They left early on Saturday morning to avoid heavy traffic</t>
  </si>
  <si>
    <t xml:space="preserve">A2_Reading_Text10_Starting a small garden at home</t>
  </si>
  <si>
    <t xml:space="preserve">Starting a small garden at home</t>
  </si>
  <si>
    <t xml:space="preserve">When Camila moved into a new apartment with a small balcony, she decided to grow her own vegetables. She had never gardened before, so she w</t>
  </si>
  <si>
    <t xml:space="preserve">A2_Reading_Text11_Flight e-ticket with connection</t>
  </si>
  <si>
    <t xml:space="preserve">Flight e-ticket with connection</t>
  </si>
  <si>
    <t xml:space="preserve">1 How much checked luggage can Laura bring? {1:MULTICHOICE_V:2 bags~=1 bag (23kg)~No checked bags~1 bag (30kg)} 2 In this ticket, "layover" </t>
  </si>
  <si>
    <t xml:space="preserve">A2_Reading_Text12_Gym membership application</t>
  </si>
  <si>
    <t xml:space="preserve">Gym membership application</t>
  </si>
  <si>
    <t xml:space="preserve">1 What is the monthly cost of the plan? {1:MULTICHOICE_V:$30~=$35~$40~$60} 2 In this form, "freeze" (as in "freeze option") means to: {1:MUL</t>
  </si>
  <si>
    <t xml:space="preserve">A2_Reading_Text13_Conference day program</t>
  </si>
  <si>
    <t xml:space="preserve">Conference day program</t>
  </si>
  <si>
    <t xml:space="preserve">1 What is the topic of Workshop A? {1:MULTICHOICE_V:Sustainable Transport~=Renewable Energy Basics~Local Business~Cities of Tomorrow} 2 In t</t>
  </si>
  <si>
    <t xml:space="preserve">B1_Reading_Text1_The Bridge That Learned to Dance</t>
  </si>
  <si>
    <t xml:space="preserve">The Bridge That Learned to Dance</t>
  </si>
  <si>
    <t xml:space="preserve">In 1940, a newly built suspension bridge began to move strangely whenever strong winds blew across the valley where it stood. Instead of rem</t>
  </si>
  <si>
    <t xml:space="preserve">B1_Reading_Text2_The Customer Who Sued Over a Cup of Coffee</t>
  </si>
  <si>
    <t xml:space="preserve">The Customer Who Sued Over a Cup of Coffee</t>
  </si>
  <si>
    <t xml:space="preserve">Years ago, a customer at a fast-food restaurant was sitting in a parked car when she opened a cup of coffee that had just been handed to her</t>
  </si>
  <si>
    <t xml:space="preserve">B1_Reading_Text3_The Shipping Box That Changed the World</t>
  </si>
  <si>
    <t xml:space="preserve">The Shipping Box That Changed the World</t>
  </si>
  <si>
    <t xml:space="preserve">Before the middle of the twentieth century, loading and unloading cargo ships was slow, expensive, and often dangerous work. Dockworkers car</t>
  </si>
  <si>
    <t xml:space="preserve">B1_Reading_Text4_When a Painting Ended Up in Court</t>
  </si>
  <si>
    <t xml:space="preserve">When a Painting Ended Up in Court</t>
  </si>
  <si>
    <t xml:space="preserve">A wealthy art collector once purchased a painting believed to be an original work by a famous artist, paying an enormous sum of money after </t>
  </si>
  <si>
    <t xml:space="preserve">B1_Reading_Text5_The Hospital That Talks by Text Message</t>
  </si>
  <si>
    <t xml:space="preserve">The Hospital That Talks by Text Message</t>
  </si>
  <si>
    <t xml:space="preserve">In many rural areas, patients who needed medical attention, even for something as simple as a minor infection, often had to travel for hours</t>
  </si>
  <si>
    <t xml:space="preserve">B1_Reading_Text6_The Four-Day Week Experiment</t>
  </si>
  <si>
    <t xml:space="preserve">The Four-Day Week Experiment</t>
  </si>
  <si>
    <t xml:space="preserve">A mid-sized technology company decided to test a four-day work week without reducing employee salaries, largely out of curiosity about how t</t>
  </si>
  <si>
    <t xml:space="preserve">B1_Reading_Text7_The Ad That Backfired</t>
  </si>
  <si>
    <t xml:space="preserve">The Ad That Backfired</t>
  </si>
  <si>
    <t xml:space="preserve">A well-known drink brand once launched a television and social media advertising campaign intended to appear playful, hopeful, and lighthear</t>
  </si>
  <si>
    <t xml:space="preserve">B1_Reading_Text8_The Office With No Bosses</t>
  </si>
  <si>
    <t xml:space="preserve">The Office With No Bosses</t>
  </si>
  <si>
    <t xml:space="preserve">A mid-sized software company made the unusual decision to remove all traditional management titles, allowing employees to organize themselve</t>
  </si>
  <si>
    <t xml:space="preserve">B1_Reading_Text9_The Invisible Cost of Burnout</t>
  </si>
  <si>
    <t xml:space="preserve">The Invisible Cost of Burnout</t>
  </si>
  <si>
    <t xml:space="preserve">For many years, exhaustion caused by work was treated primarily as a personal problem, something individual employees were simply expected t</t>
  </si>
  <si>
    <t xml:space="preserve">B1_Reading_Text10_The Delivery Robot Problem</t>
  </si>
  <si>
    <t xml:space="preserve">The Delivery Robot Problem</t>
  </si>
  <si>
    <t xml:space="preserve">In several cities around the world, delivery companies began testing small robots designed to travel along public sidewalks, carrying packag</t>
  </si>
  <si>
    <t xml:space="preserve">B2_Reading_Text1_The Paradox of Choice in the Modern Supermarket</t>
  </si>
  <si>
    <t xml:space="preserve">The Paradox of Choice in the Modern Supermarket</t>
  </si>
  <si>
    <t xml:space="preserve">Modern supermarkets take pride in offering extraordinary variety: entire aisles devoted to nothing but salad dressing, dozens of near-identi</t>
  </si>
  <si>
    <t xml:space="preserve">B2_Reading_Text2_When Algorithms Decide Who Gets the Loan</t>
  </si>
  <si>
    <t xml:space="preserve">When Algorithms Decide Who Gets the Loan</t>
  </si>
  <si>
    <t xml:space="preserve">Banks have increasingly turned to automated systems to determine who qualifies for a loan, arguing that algorithms can evaluate applications</t>
  </si>
  <si>
    <t xml:space="preserve">B2_Reading_Text3_The Silent Epidemic: Antibiotic Resistance Explained</t>
  </si>
  <si>
    <t xml:space="preserve">The Silent Epidemic: Antibiotic Resistance Explained</t>
  </si>
  <si>
    <t xml:space="preserve">For much of the twentieth century, antibiotics transformed medicine, turning once-fatal bacterial infections into minor, easily treated cond</t>
  </si>
  <si>
    <t xml:space="preserve">B2_Reading_Text4_Who Owns an Idea? The Strange History of Patent Disputes</t>
  </si>
  <si>
    <t xml:space="preserve">Who Owns an Idea? The Strange History of Patent Disputes</t>
  </si>
  <si>
    <t xml:space="preserve">Patent law exists, in theory, to strike a careful balance: rewarding inventors for their creativity by granting them temporary exclusive rig</t>
  </si>
  <si>
    <t xml:space="preserve">B2_Reading_Text5_The Engineer Who Said No</t>
  </si>
  <si>
    <t xml:space="preserve">The Engineer Who Said No</t>
  </si>
  <si>
    <t xml:space="preserve">In the lead-up to a scheduled product launch, an engineer at a manufacturing company discovered a flaw in a critical safety component during</t>
  </si>
  <si>
    <t xml:space="preserve">B2_Reading_Text6_The Hidden Bias in Hiring Algorithms</t>
  </si>
  <si>
    <t xml:space="preserve">The Hidden Bias in Hiring Algorithms</t>
  </si>
  <si>
    <t xml:space="preserve">As companies face growing volumes of job applications, many have turned to automated screening software to filter candidates before a human </t>
  </si>
  <si>
    <t xml:space="preserve">B2_Reading_Text7_The Economics of Attention</t>
  </si>
  <si>
    <t xml:space="preserve">The Economics of Attention</t>
  </si>
  <si>
    <t xml:space="preserve">Nearly every major digital platform, from social media applications to streaming services, competes in what industry analysts increasingly d</t>
  </si>
  <si>
    <t xml:space="preserve">B2_Reading_Text8_When the Sea Takes the Land Back</t>
  </si>
  <si>
    <t xml:space="preserve">When the Sea Takes the Land Back</t>
  </si>
  <si>
    <t xml:space="preserve">As sea levels gradually rise due to climate change, coastal communities around the world face a legal and philosophical question few propert</t>
  </si>
  <si>
    <t xml:space="preserve">B2_Reading_Text9_The Myth of Multitasking</t>
  </si>
  <si>
    <t xml:space="preserve">The Myth of Multitasking</t>
  </si>
  <si>
    <t xml:space="preserve">Modern professional culture often celebrates the ability to multitask, treating the simultaneous handling of emails, phone calls, and report</t>
  </si>
  <si>
    <t xml:space="preserve">B2_Reading_Text10_The Container Ship Stuck in the Canal</t>
  </si>
  <si>
    <t xml:space="preserve">The Container Ship Stuck in the Canal</t>
  </si>
  <si>
    <t xml:space="preserve">In 2021, a single massive container ship ran aground in a narrow but critically important shipping canal, wedging itself diagonally across t</t>
  </si>
  <si>
    <t xml:space="preserve">A1_Listening_A1L01_Voicemail: gym schedule change</t>
  </si>
  <si>
    <t xml:space="preserve">Voicemail: gym schedule change</t>
  </si>
  <si>
    <t xml:space="preserve">🎧 Listening Audio .vjs-control-bar{background-color:#FFFFFF !important;}.vjs-big-play-button{background-color:#FFFFFF !important; border-col</t>
  </si>
  <si>
    <t xml:space="preserve">A1_Listening_A1L02_Weather forecast (radio)</t>
  </si>
  <si>
    <t xml:space="preserve">Weather forecast (radio)</t>
  </si>
  <si>
    <t xml:space="preserve">A1_Listening_A1L03_Bus delay announcement</t>
  </si>
  <si>
    <t xml:space="preserve">Bus delay announcement</t>
  </si>
  <si>
    <t xml:space="preserve">A1_Listening_A1L04_Ordering at a coffee shop</t>
  </si>
  <si>
    <t xml:space="preserve">Ordering at a coffee shop</t>
  </si>
  <si>
    <t xml:space="preserve">A1_Listening_A1L05_Asking directions to the library</t>
  </si>
  <si>
    <t xml:space="preserve">Asking directions to the library</t>
  </si>
  <si>
    <t xml:space="preserve">A1_Listening_A1L06_Describing my family</t>
  </si>
  <si>
    <t xml:space="preserve">Describing my family</t>
  </si>
  <si>
    <t xml:space="preserve">A1_Listening_A1L07_My daily routine</t>
  </si>
  <si>
    <t xml:space="preserve">My daily routine</t>
  </si>
  <si>
    <t xml:space="preserve">A1_Listening_A1L08_Making a doctor's appointment</t>
  </si>
  <si>
    <t xml:space="preserve">Making a doctor's appointment</t>
  </si>
  <si>
    <t xml:space="preserve">A1_Listening_A1L09_Inviting a friend to a party</t>
  </si>
  <si>
    <t xml:space="preserve">Inviting a friend to a party</t>
  </si>
  <si>
    <t xml:space="preserve">A1_Listening_A1L10_Talking about my job</t>
  </si>
  <si>
    <t xml:space="preserve">Talking about my job</t>
  </si>
  <si>
    <t xml:space="preserve">A1_Listening_A1L11_Buying clothes</t>
  </si>
  <si>
    <t xml:space="preserve">Buying clothes</t>
  </si>
  <si>
    <t xml:space="preserve">A1_Listening_A1L12_Library opening hours</t>
  </si>
  <si>
    <t xml:space="preserve">Library opening hours</t>
  </si>
  <si>
    <t xml:space="preserve">A1_Listening_A1L13_Simple interview: favorite hobby</t>
  </si>
  <si>
    <t xml:space="preserve">Simple interview: favorite hobby</t>
  </si>
  <si>
    <t xml:space="preserve">A1_Listening_A1L14_Classroom change announcement</t>
  </si>
  <si>
    <t xml:space="preserve">Classroom change announcement</t>
  </si>
  <si>
    <t xml:space="preserve">A1_Listening_A1L15_Confirming a food order</t>
  </si>
  <si>
    <t xml:space="preserve">Confirming a food order</t>
  </si>
  <si>
    <t xml:space="preserve">A1_Listening_A1L16_Calling for a taxi</t>
  </si>
  <si>
    <t xml:space="preserve">Calling for a taxi</t>
  </si>
  <si>
    <t xml:space="preserve">A1_Listening_A1L17_Calling a friend to plan the weekend</t>
  </si>
  <si>
    <t xml:space="preserve">Calling a friend to plan the weekend</t>
  </si>
  <si>
    <t xml:space="preserve">A1_Listening_A1L18_Booking a table at a restaurant</t>
  </si>
  <si>
    <t xml:space="preserve">Booking a table at a restaurant</t>
  </si>
  <si>
    <t xml:space="preserve">A1_Listening_A1L19_School announcement: field trip reminder</t>
  </si>
  <si>
    <t xml:space="preserve">School announcement: field trip reminder</t>
  </si>
  <si>
    <t xml:space="preserve">A1_Listening_A1L20_Hotel check-in</t>
  </si>
  <si>
    <t xml:space="preserve">Hotel check-in</t>
  </si>
  <si>
    <t xml:space="preserve">A2_Listening_A2L01_Voicemail: lost package</t>
  </si>
  <si>
    <t xml:space="preserve">Voicemail: lost package</t>
  </si>
  <si>
    <t xml:space="preserve">A2_Listening_A2L02_Radio interview: new city park</t>
  </si>
  <si>
    <t xml:space="preserve">Radio interview: new city park</t>
  </si>
  <si>
    <t xml:space="preserve">A2_Listening_A2L03_Calling to rent an apartment</t>
  </si>
  <si>
    <t xml:space="preserve">Calling to rent an apartment</t>
  </si>
  <si>
    <t xml:space="preserve">A2_Listening_A2L04_Airport announcement: gate change</t>
  </si>
  <si>
    <t xml:space="preserve">Airport announcement: gate change</t>
  </si>
  <si>
    <t xml:space="preserve">A2_Listening_A2L05_At the pharmacy asking for advice</t>
  </si>
  <si>
    <t xml:space="preserve">At the pharmacy asking for advice</t>
  </si>
  <si>
    <t xml:space="preserve">A2_Listening_A2L06_Planning a weekend trip</t>
  </si>
  <si>
    <t xml:space="preserve">Planning a weekend trip</t>
  </si>
  <si>
    <t xml:space="preserve">A2_Listening_A2L07_Complaining at a restaurant</t>
  </si>
  <si>
    <t xml:space="preserve">Complaining at a restaurant</t>
  </si>
  <si>
    <t xml:space="preserve">A2_Listening_A2L08_Podcast: healthy habits</t>
  </si>
  <si>
    <t xml:space="preserve">Podcast: healthy habits</t>
  </si>
  <si>
    <t xml:space="preserve">A2_Listening_A2L09_University orientation for new students</t>
  </si>
  <si>
    <t xml:space="preserve">University orientation for new students</t>
  </si>
  <si>
    <t xml:space="preserve">A2_Listening_A2L10_Asking about a gym membership</t>
  </si>
  <si>
    <t xml:space="preserve">Asking about a gym membership</t>
  </si>
  <si>
    <t xml:space="preserve">A2_Listening_A2L11_Community announcement: weekend market</t>
  </si>
  <si>
    <t xml:space="preserve">Community announcement: weekend market</t>
  </si>
  <si>
    <t xml:space="preserve">A2_Listening_A2L12_Work call: rescheduling a meeting</t>
  </si>
  <si>
    <t xml:space="preserve">Work call: rescheduling a meeting</t>
  </si>
  <si>
    <t xml:space="preserve">A2_Listening_A2L13_Weather forecast with recommendations</t>
  </si>
  <si>
    <t xml:space="preserve">Weather forecast with recommendations</t>
  </si>
  <si>
    <t xml:space="preserve">B1_Listening_B1L01_Podcast: the rise of remote work</t>
  </si>
  <si>
    <t xml:space="preserve">Podcast: the rise of remote work</t>
  </si>
  <si>
    <t xml:space="preserve">B1_Listening_B1L02_Interview: local business owner</t>
  </si>
  <si>
    <t xml:space="preserve">Interview: local business owner</t>
  </si>
  <si>
    <t xml:space="preserve">B1_Listening_B1L03_Work meeting: project delay</t>
  </si>
  <si>
    <t xml:space="preserve">Work meeting: project delay</t>
  </si>
  <si>
    <t xml:space="preserve">B1_Listening_B1L04_Podcast: tips for sleeping better</t>
  </si>
  <si>
    <t xml:space="preserve">Podcast: tips for sleeping better</t>
  </si>
  <si>
    <t xml:space="preserve">B1_Listening_B1L05_Customer service call: defective product</t>
  </si>
  <si>
    <t xml:space="preserve">Customer service call: defective product</t>
  </si>
  <si>
    <t xml:space="preserve">B1_Listening_B1L06_Interview: student who did an exchange</t>
  </si>
  <si>
    <t xml:space="preserve">Interview: student who did an exchange</t>
  </si>
  <si>
    <t xml:space="preserve">B1_Listening_B1L07_Radio announcement: public transport changes</t>
  </si>
  <si>
    <t xml:space="preserve">Radio announcement: public transport changes</t>
  </si>
  <si>
    <t xml:space="preserve">B1_Listening_B1L08_Conversation: deciding to move to another city</t>
  </si>
  <si>
    <t xml:space="preserve">Conversation: deciding to move to another city</t>
  </si>
  <si>
    <t xml:space="preserve">B1_Listening_B1L09_Podcast: social media risks for young people</t>
  </si>
  <si>
    <t xml:space="preserve">Podcast: social media risks for young people</t>
  </si>
  <si>
    <t xml:space="preserve">B1_Listening_B1L10_Job interview: questions about experience</t>
  </si>
  <si>
    <t xml:space="preserve">Job interview: questions about experience</t>
  </si>
  <si>
    <t xml:space="preserve">B1_Listening_B1L11_Booking a trip with a travel agency</t>
  </si>
  <si>
    <t xml:space="preserve">Booking a trip with a travel agency</t>
  </si>
  <si>
    <t xml:space="preserve">B1_Listening_B1L12_Podcast: the value of learning a new language</t>
  </si>
  <si>
    <t xml:space="preserve">Podcast: the value of learning a new language</t>
  </si>
  <si>
    <t xml:space="preserve">B1_Listening_B1L13_Discussion: buying a used car vs. a new one</t>
  </si>
  <si>
    <t xml:space="preserve">Discussion: buying a used car vs. a new one</t>
  </si>
  <si>
    <t xml:space="preserve">Media (vocabulario)</t>
  </si>
  <si>
    <t xml:space="preserve">B2_Listening_B2L01_Conference keynote: the hidden economics of music streaming</t>
  </si>
  <si>
    <t xml:space="preserve">Conference keynote: the hidden economics of music streaming</t>
  </si>
  <si>
    <t xml:space="preserve">B2_Listening_B2L02_Two friends: why songs get stuck in our heads</t>
  </si>
  <si>
    <t xml:space="preserve">Two friends: why songs get stuck in our heads</t>
  </si>
  <si>
    <t xml:space="preserve">B2_Listening_B2L03_Presenting to a funding panel: coral reef restoration</t>
  </si>
  <si>
    <t xml:space="preserve">Presenting to a funding panel: coral reef restoration</t>
  </si>
  <si>
    <t xml:space="preserve">B2_Listening_B2L04_A parent and their child discuss a career in esports</t>
  </si>
  <si>
    <t xml:space="preserve">A parent and their child discuss a career in esports</t>
  </si>
  <si>
    <t xml:space="preserve">B2_Listening_B2L05_Coffee break chat: the hardest part of translating literature</t>
  </si>
  <si>
    <t xml:space="preserve">Coffee break chat: the hardest part of translating literature</t>
  </si>
  <si>
    <t xml:space="preserve">B2_Listening_B2L06_Public talk at the observatory: the search for exoplanets</t>
  </si>
  <si>
    <t xml:space="preserve">Public talk at the observatory: the search for exoplanets</t>
  </si>
  <si>
    <t xml:space="preserve">B2_Listening_B2L07_Office debate: should the company use facial recognition?</t>
  </si>
  <si>
    <t xml:space="preserve">Office debate: should the company use facial recognition?</t>
  </si>
  <si>
    <t xml:space="preserve">B2_Listening_B2L08_Museum audio guide: the art and science of perfume</t>
  </si>
  <si>
    <t xml:space="preserve">Museum audio guide: the art and science of perfume</t>
  </si>
  <si>
    <t xml:space="preserve">B2_Listening_B2L09_Neighbors discuss the new pedestrian street</t>
  </si>
  <si>
    <t xml:space="preserve">Neighbors discuss the new pedestrian street</t>
  </si>
  <si>
    <t xml:space="preserve">B2_Listening_B2L10_Bringing a family heirloom violin to be restored</t>
  </si>
  <si>
    <t xml:space="preserve">Bringing a family heirloom violin to be restored</t>
  </si>
  <si>
    <t xml:space="preserve">B2_Listening_B2L11_Friends debate: should museums return artifacts?</t>
  </si>
  <si>
    <t xml:space="preserve">Friends debate: should museums return artifacts?</t>
  </si>
  <si>
    <t xml:space="preserve">B2_Listening_B2L12_University careers panel: what forensic science really involves</t>
  </si>
  <si>
    <t xml:space="preserve">University careers panel: what forensic science really involves</t>
  </si>
  <si>
    <t xml:space="preserve">B2_Listening_B2L13_University lecture: the competitive world of memory athletes</t>
  </si>
  <si>
    <t xml:space="preserve">University lecture: the competitive world of memory athletes</t>
  </si>
  <si>
    <t xml:space="preserve">Nota: clasificacion automatica de primera pasada. 'Alta' = coincide la palabra clave de la respuesta con el punto gramatical de la unidad. 'Media'/'Baja' = coincidencia parcial o por vocabulario, revisar. 'Sin coincidencia' = no se encontro relacion clara con ninguna unidad; probablemente pertenece al pool general de nivel, no a una unidad especifica.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</si>
</sst>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i val="true"/>
      <sz val="9"/>
      <color rgb="FF555555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6D9"/>
        <bgColor rgb="FFFFF2CC"/>
      </patternFill>
    </fill>
    <fill>
      <patternFill patternType="solid">
        <fgColor rgb="FFD9EAD3"/>
        <bgColor rgb="FFF3F3F3"/>
      </patternFill>
    </fill>
    <fill>
      <patternFill patternType="solid">
        <fgColor rgb="FFF3F3F3"/>
        <bgColor rgb="FFFFF6D9"/>
      </patternFill>
    </fill>
    <fill>
      <patternFill patternType="solid">
        <fgColor rgb="FFF4CC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FF6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D9"/>
      <rgbColor rgb="FFF3F3F3"/>
      <rgbColor rgb="FF660066"/>
      <rgbColor rgb="FFFF8080"/>
      <rgbColor rgb="FF0066CC"/>
      <rgbColor rgb="FFFCE5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2C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8" min="3" style="1" width="16"/>
    <col collapsed="false" customWidth="true" hidden="false" outlineLevel="0" max="9" min="9" style="1" width="14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6" customFormat="false" ht="39" hidden="false" customHeight="true" outlineLevel="0" collapsed="false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4" t="s">
        <v>9</v>
      </c>
    </row>
    <row r="7" customFormat="false" ht="15" hidden="false" customHeight="true" outlineLevel="0" collapsed="false">
      <c r="B7" s="6" t="s">
        <v>10</v>
      </c>
      <c r="C7" s="7" t="n">
        <f aca="false">COUNTIFS(Unidades!$A:$A,$B7,Unidades!H:H,"Listo")/COUNTIF(Unidades!$A:$A,$B7)</f>
        <v>0</v>
      </c>
      <c r="D7" s="7" t="n">
        <f aca="false">COUNTIFS(Unidades!$A:$A,$B7,Unidades!I:I,"Listo")/COUNTIF(Unidades!$A:$A,$B7)</f>
        <v>0</v>
      </c>
      <c r="E7" s="7" t="n">
        <f aca="false">COUNTIFS(Unidades!$A:$A,$B7,Unidades!J:J,"Listo")/COUNTIF(Unidades!$A:$A,$B7)</f>
        <v>0</v>
      </c>
      <c r="F7" s="7" t="n">
        <f aca="false">COUNTIFS(Unidades!$A:$A,$B7,Unidades!K:K,"Listo")/COUNTIF(Unidades!$A:$A,$B7)</f>
        <v>0</v>
      </c>
      <c r="G7" s="7" t="n">
        <f aca="false">COUNTIFS(Unidades!$A:$A,$B7,Unidades!L:L,"Listo")/COUNTIF(Unidades!$A:$A,$B7)</f>
        <v>0</v>
      </c>
      <c r="H7" s="7" t="n">
        <f aca="false">COUNTIFS(Unidades!$A:$A,$B7,Unidades!M:M,"Listo")/COUNTIF(Unidades!$A:$A,$B7)</f>
        <v>0</v>
      </c>
      <c r="I7" s="8" t="n">
        <f aca="false">COUNTIF(Unidades!$A:$A,$B7)</f>
        <v>16</v>
      </c>
    </row>
    <row r="8" customFormat="false" ht="15" hidden="false" customHeight="true" outlineLevel="0" collapsed="false">
      <c r="B8" s="6" t="s">
        <v>11</v>
      </c>
      <c r="C8" s="7" t="n">
        <f aca="false">COUNTIFS(Unidades!$A:$A,$B8,Unidades!H:H,"Listo")/COUNTIF(Unidades!$A:$A,$B8)</f>
        <v>0</v>
      </c>
      <c r="D8" s="7" t="n">
        <f aca="false">COUNTIFS(Unidades!$A:$A,$B8,Unidades!I:I,"Listo")/COUNTIF(Unidades!$A:$A,$B8)</f>
        <v>0</v>
      </c>
      <c r="E8" s="7" t="n">
        <f aca="false">COUNTIFS(Unidades!$A:$A,$B8,Unidades!J:J,"Listo")/COUNTIF(Unidades!$A:$A,$B8)</f>
        <v>0</v>
      </c>
      <c r="F8" s="7" t="n">
        <f aca="false">COUNTIFS(Unidades!$A:$A,$B8,Unidades!K:K,"Listo")/COUNTIF(Unidades!$A:$A,$B8)</f>
        <v>0</v>
      </c>
      <c r="G8" s="7" t="n">
        <f aca="false">COUNTIFS(Unidades!$A:$A,$B8,Unidades!L:L,"Listo")/COUNTIF(Unidades!$A:$A,$B8)</f>
        <v>0</v>
      </c>
      <c r="H8" s="7" t="n">
        <f aca="false">COUNTIFS(Unidades!$A:$A,$B8,Unidades!M:M,"Listo")/COUNTIF(Unidades!$A:$A,$B8)</f>
        <v>0</v>
      </c>
      <c r="I8" s="8" t="n">
        <f aca="false">COUNTIF(Unidades!$A:$A,$B8)</f>
        <v>16</v>
      </c>
    </row>
    <row r="9" customFormat="false" ht="15" hidden="false" customHeight="true" outlineLevel="0" collapsed="false">
      <c r="B9" s="6" t="s">
        <v>12</v>
      </c>
      <c r="C9" s="7" t="n">
        <f aca="false">COUNTIFS(Unidades!$A:$A,$B9,Unidades!H:H,"Listo")/COUNTIF(Unidades!$A:$A,$B9)</f>
        <v>0</v>
      </c>
      <c r="D9" s="7" t="n">
        <f aca="false">COUNTIFS(Unidades!$A:$A,$B9,Unidades!I:I,"Listo")/COUNTIF(Unidades!$A:$A,$B9)</f>
        <v>0</v>
      </c>
      <c r="E9" s="7" t="n">
        <f aca="false">COUNTIFS(Unidades!$A:$A,$B9,Unidades!J:J,"Listo")/COUNTIF(Unidades!$A:$A,$B9)</f>
        <v>0</v>
      </c>
      <c r="F9" s="7" t="n">
        <f aca="false">COUNTIFS(Unidades!$A:$A,$B9,Unidades!K:K,"Listo")/COUNTIF(Unidades!$A:$A,$B9)</f>
        <v>0</v>
      </c>
      <c r="G9" s="7" t="n">
        <f aca="false">COUNTIFS(Unidades!$A:$A,$B9,Unidades!L:L,"Listo")/COUNTIF(Unidades!$A:$A,$B9)</f>
        <v>0</v>
      </c>
      <c r="H9" s="7" t="n">
        <f aca="false">COUNTIFS(Unidades!$A:$A,$B9,Unidades!M:M,"Listo")/COUNTIF(Unidades!$A:$A,$B9)</f>
        <v>0</v>
      </c>
      <c r="I9" s="8" t="n">
        <f aca="false">COUNTIF(Unidades!$A:$A,$B9)</f>
        <v>8</v>
      </c>
    </row>
    <row r="10" customFormat="false" ht="15" hidden="false" customHeight="true" outlineLevel="0" collapsed="false">
      <c r="B10" s="6" t="s">
        <v>13</v>
      </c>
      <c r="C10" s="7" t="n">
        <f aca="false">COUNTIFS(Unidades!$A:$A,$B10,Unidades!H:H,"Listo")/COUNTIF(Unidades!$A:$A,$B10)</f>
        <v>0</v>
      </c>
      <c r="D10" s="7" t="n">
        <f aca="false">COUNTIFS(Unidades!$A:$A,$B10,Unidades!I:I,"Listo")/COUNTIF(Unidades!$A:$A,$B10)</f>
        <v>0</v>
      </c>
      <c r="E10" s="7" t="n">
        <f aca="false">COUNTIFS(Unidades!$A:$A,$B10,Unidades!J:J,"Listo")/COUNTIF(Unidades!$A:$A,$B10)</f>
        <v>0</v>
      </c>
      <c r="F10" s="7" t="n">
        <f aca="false">COUNTIFS(Unidades!$A:$A,$B10,Unidades!K:K,"Listo")/COUNTIF(Unidades!$A:$A,$B10)</f>
        <v>0</v>
      </c>
      <c r="G10" s="7" t="n">
        <f aca="false">COUNTIFS(Unidades!$A:$A,$B10,Unidades!L:L,"Listo")/COUNTIF(Unidades!$A:$A,$B10)</f>
        <v>0</v>
      </c>
      <c r="H10" s="7" t="n">
        <f aca="false">COUNTIFS(Unidades!$A:$A,$B10,Unidades!M:M,"Listo")/COUNTIF(Unidades!$A:$A,$B10)</f>
        <v>0</v>
      </c>
      <c r="I10" s="8" t="n">
        <f aca="false">COUNTIF(Unidades!$A:$A,$B10)</f>
        <v>8</v>
      </c>
    </row>
    <row r="11" customFormat="false" ht="15" hidden="false" customHeight="true" outlineLevel="0" collapsed="false">
      <c r="B11" s="6" t="s">
        <v>14</v>
      </c>
      <c r="C11" s="7" t="n">
        <f aca="false">COUNTIFS(Unidades!$A:$A,$B11,Unidades!H:H,"Listo")/COUNTIF(Unidades!$A:$A,$B11)</f>
        <v>0</v>
      </c>
      <c r="D11" s="7" t="n">
        <f aca="false">COUNTIFS(Unidades!$A:$A,$B11,Unidades!I:I,"Listo")/COUNTIF(Unidades!$A:$A,$B11)</f>
        <v>0</v>
      </c>
      <c r="E11" s="7" t="n">
        <f aca="false">COUNTIFS(Unidades!$A:$A,$B11,Unidades!J:J,"Listo")/COUNTIF(Unidades!$A:$A,$B11)</f>
        <v>0</v>
      </c>
      <c r="F11" s="7" t="n">
        <f aca="false">COUNTIFS(Unidades!$A:$A,$B11,Unidades!K:K,"Listo")/COUNTIF(Unidades!$A:$A,$B11)</f>
        <v>0</v>
      </c>
      <c r="G11" s="7" t="n">
        <f aca="false">COUNTIFS(Unidades!$A:$A,$B11,Unidades!L:L,"Listo")/COUNTIF(Unidades!$A:$A,$B11)</f>
        <v>0</v>
      </c>
      <c r="H11" s="7" t="n">
        <f aca="false">COUNTIFS(Unidades!$A:$A,$B11,Unidades!M:M,"Listo")/COUNTIF(Unidades!$A:$A,$B11)</f>
        <v>0</v>
      </c>
      <c r="I11" s="8" t="n">
        <f aca="false">COUNTIF(Unidades!$A:$A,$B11)</f>
        <v>16</v>
      </c>
    </row>
    <row r="12" customFormat="false" ht="15" hidden="false" customHeight="true" outlineLevel="0" collapsed="false">
      <c r="B12" s="6" t="s">
        <v>15</v>
      </c>
      <c r="C12" s="9" t="n">
        <f aca="false">COUNTIF(Unidades!H:H,"Listo")/COUNTA(Unidades!H2:H65)</f>
        <v>0</v>
      </c>
      <c r="D12" s="9" t="n">
        <f aca="false">COUNTIF(Unidades!I:I,"Listo")/COUNTA(Unidades!I2:I65)</f>
        <v>0</v>
      </c>
      <c r="E12" s="9" t="n">
        <f aca="false">COUNTIF(Unidades!J:J,"Listo")/COUNTA(Unidades!J2:J65)</f>
        <v>0</v>
      </c>
      <c r="F12" s="9" t="n">
        <f aca="false">COUNTIF(Unidades!K:K,"Listo")/COUNTA(Unidades!K2:K65)</f>
        <v>0</v>
      </c>
      <c r="G12" s="9" t="n">
        <f aca="false">COUNTIF(Unidades!L:L,"Listo")/COUNTA(Unidades!L2:L65)</f>
        <v>0</v>
      </c>
      <c r="H12" s="9" t="n">
        <f aca="false">COUNTIF(Unidades!M:M,"Listo")/COUNTA(Unidades!M2:M65)</f>
        <v>0</v>
      </c>
      <c r="I12" s="10" t="n">
        <f aca="false">COUNTA(Unidades!A2:A65)</f>
        <v>64</v>
      </c>
    </row>
    <row r="15" customFormat="false" ht="15" hidden="false" customHeight="true" outlineLevel="0" collapsed="false">
      <c r="B15" s="6" t="s">
        <v>16</v>
      </c>
    </row>
    <row r="16" customFormat="false" ht="15" hidden="false" customHeight="true" outlineLevel="0" collapsed="false">
      <c r="B16" s="11" t="s">
        <v>17</v>
      </c>
    </row>
    <row r="17" customFormat="false" ht="15" hidden="false" customHeight="true" outlineLevel="0" collapsed="false">
      <c r="B17" s="11" t="s">
        <v>18</v>
      </c>
    </row>
    <row r="18" customFormat="false" ht="15" hidden="false" customHeight="true" outlineLevel="0" collapsed="false">
      <c r="B18" s="11" t="s">
        <v>19</v>
      </c>
    </row>
    <row r="19" customFormat="false" ht="15" hidden="false" customHeight="true" outlineLevel="0" collapsed="false">
      <c r="B19" s="11" t="s">
        <v>20</v>
      </c>
    </row>
    <row r="27" customFormat="false" ht="15" hidden="false" customHeight="false" outlineLevel="0" collapsed="false">
      <c r="B27" s="12" t="s">
        <v>21</v>
      </c>
    </row>
    <row r="28" customFormat="false" ht="15" hidden="false" customHeight="false" outlineLevel="0" collapsed="false">
      <c r="B28" s="1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5" min="3" style="1" width="34"/>
    <col collapsed="false" customWidth="true" hidden="false" outlineLevel="0" max="6" min="6" style="1" width="38"/>
  </cols>
  <sheetData>
    <row r="2" customFormat="false" ht="17.25" hidden="false" customHeight="true" outlineLevel="0" collapsed="false">
      <c r="B2" s="14" t="s">
        <v>23</v>
      </c>
    </row>
    <row r="3" customFormat="false" ht="15" hidden="false" customHeight="true" outlineLevel="0" collapsed="false">
      <c r="B3" s="11" t="s">
        <v>24</v>
      </c>
    </row>
    <row r="5" customFormat="false" ht="15" hidden="false" customHeight="true" outlineLevel="0" collapsed="false">
      <c r="B5" s="5" t="s">
        <v>25</v>
      </c>
      <c r="C5" s="5" t="s">
        <v>26</v>
      </c>
      <c r="D5" s="5" t="s">
        <v>27</v>
      </c>
      <c r="E5" s="5" t="s">
        <v>14</v>
      </c>
      <c r="F5" s="5" t="s">
        <v>28</v>
      </c>
    </row>
    <row r="6" customFormat="false" ht="60" hidden="false" customHeight="true" outlineLevel="0" collapsed="false">
      <c r="B6" s="15" t="s">
        <v>29</v>
      </c>
      <c r="C6" s="16" t="s">
        <v>30</v>
      </c>
      <c r="D6" s="16" t="s">
        <v>31</v>
      </c>
      <c r="E6" s="16" t="s">
        <v>32</v>
      </c>
      <c r="F6" s="16" t="s">
        <v>33</v>
      </c>
    </row>
    <row r="7" customFormat="false" ht="60" hidden="false" customHeight="true" outlineLevel="0" collapsed="false">
      <c r="B7" s="15" t="s">
        <v>34</v>
      </c>
      <c r="C7" s="16" t="s">
        <v>35</v>
      </c>
      <c r="D7" s="16" t="s">
        <v>36</v>
      </c>
      <c r="E7" s="16" t="s">
        <v>37</v>
      </c>
      <c r="F7" s="16" t="s">
        <v>38</v>
      </c>
    </row>
    <row r="8" customFormat="false" ht="60" hidden="false" customHeight="true" outlineLevel="0" collapsed="false">
      <c r="B8" s="15" t="s">
        <v>39</v>
      </c>
      <c r="C8" s="16" t="s">
        <v>40</v>
      </c>
      <c r="D8" s="16" t="s">
        <v>41</v>
      </c>
      <c r="E8" s="16" t="s">
        <v>42</v>
      </c>
      <c r="F8" s="16" t="s">
        <v>43</v>
      </c>
    </row>
    <row r="9" customFormat="false" ht="60" hidden="false" customHeight="true" outlineLevel="0" collapsed="false">
      <c r="B9" s="15" t="s">
        <v>44</v>
      </c>
      <c r="C9" s="16" t="s">
        <v>45</v>
      </c>
      <c r="D9" s="16" t="s">
        <v>46</v>
      </c>
      <c r="E9" s="16" t="s">
        <v>47</v>
      </c>
      <c r="F9" s="16" t="s">
        <v>48</v>
      </c>
    </row>
    <row r="10" customFormat="false" ht="60" hidden="false" customHeight="true" outlineLevel="0" collapsed="false">
      <c r="B10" s="15" t="s">
        <v>49</v>
      </c>
      <c r="C10" s="16" t="s">
        <v>50</v>
      </c>
      <c r="D10" s="16" t="s">
        <v>51</v>
      </c>
      <c r="E10" s="16" t="s">
        <v>52</v>
      </c>
      <c r="F10" s="16" t="s">
        <v>53</v>
      </c>
    </row>
    <row r="11" customFormat="false" ht="60" hidden="false" customHeight="true" outlineLevel="0" collapsed="false">
      <c r="B11" s="15" t="s">
        <v>54</v>
      </c>
      <c r="C11" s="16" t="s">
        <v>55</v>
      </c>
      <c r="D11" s="16" t="s">
        <v>56</v>
      </c>
      <c r="E11" s="16" t="s">
        <v>57</v>
      </c>
      <c r="F11" s="16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22"/>
    <col collapsed="false" customWidth="true" hidden="false" outlineLevel="0" max="4" min="4" style="1" width="32"/>
    <col collapsed="false" customWidth="true" hidden="false" outlineLevel="0" max="5" min="5" style="1" width="28"/>
    <col collapsed="false" customWidth="true" hidden="false" outlineLevel="0" max="6" min="6" style="1" width="34"/>
    <col collapsed="false" customWidth="true" hidden="false" outlineLevel="0" max="7" min="7" style="1" width="12"/>
    <col collapsed="false" customWidth="true" hidden="false" outlineLevel="0" max="8" min="8" style="1" width="15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2" min="12" style="1" width="13"/>
    <col collapsed="false" customWidth="true" hidden="false" outlineLevel="0" max="13" min="13" style="1" width="10"/>
    <col collapsed="false" customWidth="true" hidden="false" outlineLevel="0" max="14" min="14" style="1" width="26"/>
    <col collapsed="false" customWidth="true" hidden="false" outlineLevel="0" max="15" min="15" style="0" width="16"/>
  </cols>
  <sheetData>
    <row r="1" customFormat="false" ht="30" hidden="false" customHeight="true" outlineLevel="0" collapsed="false">
      <c r="A1" s="5" t="s">
        <v>2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  <c r="I1" s="5" t="s">
        <v>66</v>
      </c>
      <c r="J1" s="5" t="s">
        <v>67</v>
      </c>
      <c r="K1" s="5" t="s">
        <v>68</v>
      </c>
      <c r="L1" s="5" t="s">
        <v>69</v>
      </c>
      <c r="M1" s="5" t="s">
        <v>70</v>
      </c>
      <c r="N1" s="5" t="s">
        <v>28</v>
      </c>
      <c r="O1" s="5" t="s">
        <v>71</v>
      </c>
    </row>
    <row r="2" customFormat="false" ht="23.25" hidden="false" customHeight="true" outlineLevel="0" collapsed="false">
      <c r="A2" s="16" t="s">
        <v>10</v>
      </c>
      <c r="B2" s="16" t="s">
        <v>72</v>
      </c>
      <c r="C2" s="16" t="s">
        <v>73</v>
      </c>
      <c r="D2" s="16" t="s">
        <v>74</v>
      </c>
      <c r="E2" s="16" t="s">
        <v>75</v>
      </c>
      <c r="F2" s="16" t="s">
        <v>76</v>
      </c>
      <c r="G2" s="17" t="n">
        <f aca="false">COUNTIF(Banco_Clasificado!$G:$G,$C2)</f>
        <v>1</v>
      </c>
      <c r="H2" s="18" t="s">
        <v>77</v>
      </c>
      <c r="I2" s="18" t="s">
        <v>77</v>
      </c>
      <c r="J2" s="18" t="s">
        <v>77</v>
      </c>
      <c r="K2" s="18" t="s">
        <v>77</v>
      </c>
      <c r="L2" s="18" t="s">
        <v>77</v>
      </c>
      <c r="M2" s="18" t="s">
        <v>77</v>
      </c>
      <c r="N2" s="17"/>
      <c r="O2" s="19" t="s">
        <v>78</v>
      </c>
    </row>
    <row r="3" customFormat="false" ht="23.25" hidden="false" customHeight="true" outlineLevel="0" collapsed="false">
      <c r="A3" s="16" t="s">
        <v>10</v>
      </c>
      <c r="B3" s="16" t="s">
        <v>79</v>
      </c>
      <c r="C3" s="16" t="s">
        <v>80</v>
      </c>
      <c r="D3" s="16" t="s">
        <v>81</v>
      </c>
      <c r="E3" s="16" t="s">
        <v>82</v>
      </c>
      <c r="F3" s="16" t="s">
        <v>83</v>
      </c>
      <c r="G3" s="17" t="n">
        <f aca="false">COUNTIF(Banco_Clasificado!$G:$G,$C3)</f>
        <v>0</v>
      </c>
      <c r="H3" s="18" t="s">
        <v>77</v>
      </c>
      <c r="I3" s="18" t="s">
        <v>77</v>
      </c>
      <c r="J3" s="18" t="s">
        <v>77</v>
      </c>
      <c r="K3" s="18" t="s">
        <v>77</v>
      </c>
      <c r="L3" s="18" t="s">
        <v>77</v>
      </c>
      <c r="M3" s="18" t="s">
        <v>77</v>
      </c>
      <c r="N3" s="17"/>
      <c r="O3" s="19" t="s">
        <v>78</v>
      </c>
    </row>
    <row r="4" customFormat="false" ht="23.25" hidden="false" customHeight="true" outlineLevel="0" collapsed="false">
      <c r="A4" s="16" t="s">
        <v>10</v>
      </c>
      <c r="B4" s="16" t="s">
        <v>84</v>
      </c>
      <c r="C4" s="16" t="s">
        <v>85</v>
      </c>
      <c r="D4" s="16" t="s">
        <v>86</v>
      </c>
      <c r="E4" s="16" t="s">
        <v>87</v>
      </c>
      <c r="F4" s="16" t="s">
        <v>88</v>
      </c>
      <c r="G4" s="17" t="n">
        <f aca="false">COUNTIF(Banco_Clasificado!$G:$G,$C4)</f>
        <v>0</v>
      </c>
      <c r="H4" s="18" t="s">
        <v>77</v>
      </c>
      <c r="I4" s="18" t="s">
        <v>77</v>
      </c>
      <c r="J4" s="18" t="s">
        <v>77</v>
      </c>
      <c r="K4" s="18" t="s">
        <v>77</v>
      </c>
      <c r="L4" s="18" t="s">
        <v>77</v>
      </c>
      <c r="M4" s="18" t="s">
        <v>77</v>
      </c>
      <c r="N4" s="17"/>
      <c r="O4" s="19" t="s">
        <v>78</v>
      </c>
    </row>
    <row r="5" customFormat="false" ht="34.5" hidden="false" customHeight="true" outlineLevel="0" collapsed="false">
      <c r="A5" s="16" t="s">
        <v>10</v>
      </c>
      <c r="B5" s="16" t="s">
        <v>89</v>
      </c>
      <c r="C5" s="16" t="s">
        <v>90</v>
      </c>
      <c r="D5" s="16" t="s">
        <v>91</v>
      </c>
      <c r="E5" s="16" t="s">
        <v>92</v>
      </c>
      <c r="F5" s="16" t="s">
        <v>93</v>
      </c>
      <c r="G5" s="17" t="n">
        <f aca="false">COUNTIF(Banco_Clasificado!$G:$G,$C5)</f>
        <v>0</v>
      </c>
      <c r="H5" s="18" t="s">
        <v>77</v>
      </c>
      <c r="I5" s="18" t="s">
        <v>77</v>
      </c>
      <c r="J5" s="18" t="s">
        <v>77</v>
      </c>
      <c r="K5" s="18" t="s">
        <v>77</v>
      </c>
      <c r="L5" s="18" t="s">
        <v>77</v>
      </c>
      <c r="M5" s="18" t="s">
        <v>77</v>
      </c>
      <c r="N5" s="17"/>
      <c r="O5" s="19" t="s">
        <v>78</v>
      </c>
    </row>
    <row r="6" customFormat="false" ht="23.25" hidden="false" customHeight="true" outlineLevel="0" collapsed="false">
      <c r="A6" s="16" t="s">
        <v>10</v>
      </c>
      <c r="B6" s="16" t="s">
        <v>94</v>
      </c>
      <c r="C6" s="16" t="s">
        <v>95</v>
      </c>
      <c r="D6" s="16" t="s">
        <v>96</v>
      </c>
      <c r="E6" s="16" t="s">
        <v>97</v>
      </c>
      <c r="F6" s="16" t="s">
        <v>98</v>
      </c>
      <c r="G6" s="17" t="n">
        <f aca="false">COUNTIF(Banco_Clasificado!$G:$G,$C6)</f>
        <v>1</v>
      </c>
      <c r="H6" s="18" t="s">
        <v>77</v>
      </c>
      <c r="I6" s="18" t="s">
        <v>77</v>
      </c>
      <c r="J6" s="18" t="s">
        <v>77</v>
      </c>
      <c r="K6" s="18" t="s">
        <v>77</v>
      </c>
      <c r="L6" s="18" t="s">
        <v>77</v>
      </c>
      <c r="M6" s="18" t="s">
        <v>77</v>
      </c>
      <c r="N6" s="17"/>
      <c r="O6" s="19" t="s">
        <v>78</v>
      </c>
    </row>
    <row r="7" customFormat="false" ht="23.25" hidden="false" customHeight="true" outlineLevel="0" collapsed="false">
      <c r="A7" s="16" t="s">
        <v>10</v>
      </c>
      <c r="B7" s="16" t="s">
        <v>99</v>
      </c>
      <c r="C7" s="16" t="s">
        <v>100</v>
      </c>
      <c r="D7" s="16" t="s">
        <v>101</v>
      </c>
      <c r="E7" s="16" t="s">
        <v>102</v>
      </c>
      <c r="F7" s="16" t="s">
        <v>103</v>
      </c>
      <c r="G7" s="17" t="n">
        <f aca="false">COUNTIF(Banco_Clasificado!$G:$G,$C7)</f>
        <v>0</v>
      </c>
      <c r="H7" s="18" t="s">
        <v>77</v>
      </c>
      <c r="I7" s="18" t="s">
        <v>77</v>
      </c>
      <c r="J7" s="18" t="s">
        <v>77</v>
      </c>
      <c r="K7" s="18" t="s">
        <v>77</v>
      </c>
      <c r="L7" s="18" t="s">
        <v>77</v>
      </c>
      <c r="M7" s="18" t="s">
        <v>77</v>
      </c>
      <c r="N7" s="17"/>
      <c r="O7" s="20" t="s">
        <v>104</v>
      </c>
    </row>
    <row r="8" customFormat="false" ht="23.25" hidden="false" customHeight="true" outlineLevel="0" collapsed="false">
      <c r="A8" s="16" t="s">
        <v>10</v>
      </c>
      <c r="B8" s="16" t="s">
        <v>105</v>
      </c>
      <c r="C8" s="16" t="s">
        <v>106</v>
      </c>
      <c r="D8" s="16" t="s">
        <v>107</v>
      </c>
      <c r="E8" s="16" t="s">
        <v>108</v>
      </c>
      <c r="F8" s="16" t="s">
        <v>109</v>
      </c>
      <c r="G8" s="17" t="n">
        <f aca="false">COUNTIF(Banco_Clasificado!$G:$G,$C8)</f>
        <v>2</v>
      </c>
      <c r="H8" s="18" t="s">
        <v>77</v>
      </c>
      <c r="I8" s="18" t="s">
        <v>77</v>
      </c>
      <c r="J8" s="18" t="s">
        <v>77</v>
      </c>
      <c r="K8" s="18" t="s">
        <v>77</v>
      </c>
      <c r="L8" s="18" t="s">
        <v>77</v>
      </c>
      <c r="M8" s="18" t="s">
        <v>77</v>
      </c>
      <c r="N8" s="17"/>
      <c r="O8" s="20" t="s">
        <v>104</v>
      </c>
    </row>
    <row r="9" customFormat="false" ht="23.25" hidden="false" customHeight="true" outlineLevel="0" collapsed="false">
      <c r="A9" s="16" t="s">
        <v>10</v>
      </c>
      <c r="B9" s="16" t="s">
        <v>110</v>
      </c>
      <c r="C9" s="16" t="s">
        <v>111</v>
      </c>
      <c r="D9" s="16" t="s">
        <v>112</v>
      </c>
      <c r="E9" s="16" t="s">
        <v>113</v>
      </c>
      <c r="F9" s="16" t="s">
        <v>114</v>
      </c>
      <c r="G9" s="17" t="n">
        <f aca="false">COUNTIF(Banco_Clasificado!$G:$G,$C9)</f>
        <v>3</v>
      </c>
      <c r="H9" s="18" t="s">
        <v>77</v>
      </c>
      <c r="I9" s="18" t="s">
        <v>77</v>
      </c>
      <c r="J9" s="18" t="s">
        <v>77</v>
      </c>
      <c r="K9" s="18" t="s">
        <v>77</v>
      </c>
      <c r="L9" s="18" t="s">
        <v>77</v>
      </c>
      <c r="M9" s="18" t="s">
        <v>77</v>
      </c>
      <c r="N9" s="17"/>
      <c r="O9" s="20" t="s">
        <v>104</v>
      </c>
    </row>
    <row r="10" customFormat="false" ht="23.25" hidden="false" customHeight="true" outlineLevel="0" collapsed="false">
      <c r="A10" s="16" t="s">
        <v>10</v>
      </c>
      <c r="B10" s="16" t="s">
        <v>115</v>
      </c>
      <c r="C10" s="16" t="s">
        <v>116</v>
      </c>
      <c r="D10" s="16" t="s">
        <v>117</v>
      </c>
      <c r="E10" s="16" t="s">
        <v>118</v>
      </c>
      <c r="F10" s="16" t="s">
        <v>119</v>
      </c>
      <c r="G10" s="17" t="n">
        <f aca="false">COUNTIF(Banco_Clasificado!$G:$G,$C10)</f>
        <v>2</v>
      </c>
      <c r="H10" s="18" t="s">
        <v>77</v>
      </c>
      <c r="I10" s="18" t="s">
        <v>77</v>
      </c>
      <c r="J10" s="18" t="s">
        <v>77</v>
      </c>
      <c r="K10" s="18" t="s">
        <v>77</v>
      </c>
      <c r="L10" s="18" t="s">
        <v>77</v>
      </c>
      <c r="M10" s="18" t="s">
        <v>77</v>
      </c>
      <c r="N10" s="17"/>
      <c r="O10" s="20" t="s">
        <v>104</v>
      </c>
    </row>
    <row r="11" customFormat="false" ht="34.5" hidden="false" customHeight="true" outlineLevel="0" collapsed="false">
      <c r="A11" s="16" t="s">
        <v>10</v>
      </c>
      <c r="B11" s="16" t="s">
        <v>120</v>
      </c>
      <c r="C11" s="16" t="s">
        <v>121</v>
      </c>
      <c r="D11" s="16" t="s">
        <v>122</v>
      </c>
      <c r="E11" s="16" t="s">
        <v>123</v>
      </c>
      <c r="F11" s="16" t="s">
        <v>124</v>
      </c>
      <c r="G11" s="17" t="n">
        <f aca="false">COUNTIF(Banco_Clasificado!$G:$G,$C11)</f>
        <v>0</v>
      </c>
      <c r="H11" s="18" t="s">
        <v>77</v>
      </c>
      <c r="I11" s="18" t="s">
        <v>77</v>
      </c>
      <c r="J11" s="18" t="s">
        <v>77</v>
      </c>
      <c r="K11" s="18" t="s">
        <v>77</v>
      </c>
      <c r="L11" s="18" t="s">
        <v>77</v>
      </c>
      <c r="M11" s="18" t="s">
        <v>77</v>
      </c>
      <c r="N11" s="17"/>
      <c r="O11" s="20" t="s">
        <v>104</v>
      </c>
    </row>
    <row r="12" customFormat="false" ht="34.5" hidden="false" customHeight="true" outlineLevel="0" collapsed="false">
      <c r="A12" s="16" t="s">
        <v>10</v>
      </c>
      <c r="B12" s="16" t="s">
        <v>125</v>
      </c>
      <c r="C12" s="16" t="s">
        <v>126</v>
      </c>
      <c r="D12" s="16" t="s">
        <v>127</v>
      </c>
      <c r="E12" s="16" t="s">
        <v>128</v>
      </c>
      <c r="F12" s="16" t="s">
        <v>129</v>
      </c>
      <c r="G12" s="17" t="n">
        <f aca="false">COUNTIF(Banco_Clasificado!$G:$G,$C12)</f>
        <v>1</v>
      </c>
      <c r="H12" s="18" t="s">
        <v>77</v>
      </c>
      <c r="I12" s="18" t="s">
        <v>77</v>
      </c>
      <c r="J12" s="18" t="s">
        <v>77</v>
      </c>
      <c r="K12" s="18" t="s">
        <v>77</v>
      </c>
      <c r="L12" s="18" t="s">
        <v>77</v>
      </c>
      <c r="M12" s="18" t="s">
        <v>77</v>
      </c>
      <c r="N12" s="17"/>
      <c r="O12" s="20" t="s">
        <v>104</v>
      </c>
    </row>
    <row r="13" customFormat="false" ht="23.25" hidden="false" customHeight="true" outlineLevel="0" collapsed="false">
      <c r="A13" s="16" t="s">
        <v>10</v>
      </c>
      <c r="B13" s="16" t="s">
        <v>130</v>
      </c>
      <c r="C13" s="16" t="s">
        <v>131</v>
      </c>
      <c r="D13" s="16" t="s">
        <v>132</v>
      </c>
      <c r="E13" s="16" t="s">
        <v>133</v>
      </c>
      <c r="F13" s="16" t="s">
        <v>134</v>
      </c>
      <c r="G13" s="17" t="n">
        <f aca="false">COUNTIF(Banco_Clasificado!$G:$G,$C13)</f>
        <v>26</v>
      </c>
      <c r="H13" s="18" t="s">
        <v>77</v>
      </c>
      <c r="I13" s="18" t="s">
        <v>77</v>
      </c>
      <c r="J13" s="18" t="s">
        <v>77</v>
      </c>
      <c r="K13" s="18" t="s">
        <v>77</v>
      </c>
      <c r="L13" s="18" t="s">
        <v>77</v>
      </c>
      <c r="M13" s="18" t="s">
        <v>77</v>
      </c>
      <c r="N13" s="17"/>
      <c r="O13" s="20" t="s">
        <v>104</v>
      </c>
    </row>
    <row r="14" customFormat="false" ht="34.5" hidden="false" customHeight="true" outlineLevel="0" collapsed="false">
      <c r="A14" s="16" t="s">
        <v>10</v>
      </c>
      <c r="B14" s="16" t="s">
        <v>135</v>
      </c>
      <c r="C14" s="16" t="s">
        <v>136</v>
      </c>
      <c r="D14" s="16" t="s">
        <v>137</v>
      </c>
      <c r="E14" s="16" t="s">
        <v>138</v>
      </c>
      <c r="F14" s="16" t="s">
        <v>139</v>
      </c>
      <c r="G14" s="17" t="n">
        <f aca="false">COUNTIF(Banco_Clasificado!$G:$G,$C14)</f>
        <v>0</v>
      </c>
      <c r="H14" s="18" t="s">
        <v>77</v>
      </c>
      <c r="I14" s="18" t="s">
        <v>77</v>
      </c>
      <c r="J14" s="18" t="s">
        <v>77</v>
      </c>
      <c r="K14" s="18" t="s">
        <v>77</v>
      </c>
      <c r="L14" s="18" t="s">
        <v>77</v>
      </c>
      <c r="M14" s="18" t="s">
        <v>77</v>
      </c>
      <c r="N14" s="17"/>
      <c r="O14" s="20" t="s">
        <v>104</v>
      </c>
    </row>
    <row r="15" customFormat="false" ht="23.25" hidden="false" customHeight="true" outlineLevel="0" collapsed="false">
      <c r="A15" s="16" t="s">
        <v>10</v>
      </c>
      <c r="B15" s="16" t="s">
        <v>140</v>
      </c>
      <c r="C15" s="16" t="s">
        <v>141</v>
      </c>
      <c r="D15" s="16" t="s">
        <v>142</v>
      </c>
      <c r="E15" s="16" t="s">
        <v>143</v>
      </c>
      <c r="F15" s="16" t="s">
        <v>144</v>
      </c>
      <c r="G15" s="17" t="n">
        <f aca="false">COUNTIF(Banco_Clasificado!$G:$G,$C15)</f>
        <v>2</v>
      </c>
      <c r="H15" s="18" t="s">
        <v>77</v>
      </c>
      <c r="I15" s="18" t="s">
        <v>77</v>
      </c>
      <c r="J15" s="18" t="s">
        <v>77</v>
      </c>
      <c r="K15" s="18" t="s">
        <v>77</v>
      </c>
      <c r="L15" s="18" t="s">
        <v>77</v>
      </c>
      <c r="M15" s="18" t="s">
        <v>77</v>
      </c>
      <c r="N15" s="17"/>
      <c r="O15" s="20" t="s">
        <v>104</v>
      </c>
    </row>
    <row r="16" customFormat="false" ht="23.25" hidden="false" customHeight="true" outlineLevel="0" collapsed="false">
      <c r="A16" s="16" t="s">
        <v>10</v>
      </c>
      <c r="B16" s="16" t="s">
        <v>145</v>
      </c>
      <c r="C16" s="16" t="s">
        <v>146</v>
      </c>
      <c r="D16" s="16" t="s">
        <v>147</v>
      </c>
      <c r="E16" s="16" t="s">
        <v>148</v>
      </c>
      <c r="F16" s="16" t="s">
        <v>149</v>
      </c>
      <c r="G16" s="17" t="n">
        <f aca="false">COUNTIF(Banco_Clasificado!$G:$G,$C16)</f>
        <v>2</v>
      </c>
      <c r="H16" s="18" t="s">
        <v>77</v>
      </c>
      <c r="I16" s="18" t="s">
        <v>77</v>
      </c>
      <c r="J16" s="18" t="s">
        <v>77</v>
      </c>
      <c r="K16" s="18" t="s">
        <v>77</v>
      </c>
      <c r="L16" s="18" t="s">
        <v>77</v>
      </c>
      <c r="M16" s="18" t="s">
        <v>77</v>
      </c>
      <c r="N16" s="17"/>
      <c r="O16" s="20" t="s">
        <v>104</v>
      </c>
    </row>
    <row r="17" customFormat="false" ht="23.25" hidden="false" customHeight="true" outlineLevel="0" collapsed="false">
      <c r="A17" s="16" t="s">
        <v>10</v>
      </c>
      <c r="B17" s="16" t="s">
        <v>150</v>
      </c>
      <c r="C17" s="16" t="s">
        <v>151</v>
      </c>
      <c r="D17" s="16" t="s">
        <v>152</v>
      </c>
      <c r="E17" s="16" t="s">
        <v>153</v>
      </c>
      <c r="F17" s="16" t="s">
        <v>154</v>
      </c>
      <c r="G17" s="17" t="n">
        <f aca="false">COUNTIF(Banco_Clasificado!$G:$G,$C17)</f>
        <v>0</v>
      </c>
      <c r="H17" s="18" t="s">
        <v>77</v>
      </c>
      <c r="I17" s="18" t="s">
        <v>77</v>
      </c>
      <c r="J17" s="18" t="s">
        <v>77</v>
      </c>
      <c r="K17" s="18" t="s">
        <v>77</v>
      </c>
      <c r="L17" s="18" t="s">
        <v>77</v>
      </c>
      <c r="M17" s="18" t="s">
        <v>77</v>
      </c>
      <c r="N17" s="17"/>
      <c r="O17" s="20" t="s">
        <v>104</v>
      </c>
    </row>
    <row r="18" customFormat="false" ht="34.5" hidden="false" customHeight="true" outlineLevel="0" collapsed="false">
      <c r="A18" s="16" t="s">
        <v>11</v>
      </c>
      <c r="B18" s="16" t="s">
        <v>72</v>
      </c>
      <c r="C18" s="16" t="s">
        <v>155</v>
      </c>
      <c r="D18" s="16" t="s">
        <v>156</v>
      </c>
      <c r="E18" s="16" t="s">
        <v>157</v>
      </c>
      <c r="F18" s="16" t="s">
        <v>158</v>
      </c>
      <c r="G18" s="17" t="n">
        <f aca="false">COUNTIF(Banco_Clasificado!$G:$G,$C18)</f>
        <v>0</v>
      </c>
      <c r="H18" s="18" t="s">
        <v>77</v>
      </c>
      <c r="I18" s="18" t="s">
        <v>77</v>
      </c>
      <c r="J18" s="18" t="s">
        <v>77</v>
      </c>
      <c r="K18" s="18" t="s">
        <v>77</v>
      </c>
      <c r="L18" s="18" t="s">
        <v>77</v>
      </c>
      <c r="M18" s="18" t="s">
        <v>77</v>
      </c>
      <c r="N18" s="17"/>
      <c r="O18" s="19" t="s">
        <v>78</v>
      </c>
    </row>
    <row r="19" customFormat="false" ht="34.5" hidden="false" customHeight="true" outlineLevel="0" collapsed="false">
      <c r="A19" s="16" t="s">
        <v>11</v>
      </c>
      <c r="B19" s="16" t="s">
        <v>79</v>
      </c>
      <c r="C19" s="16" t="s">
        <v>159</v>
      </c>
      <c r="D19" s="16" t="s">
        <v>160</v>
      </c>
      <c r="E19" s="16" t="s">
        <v>161</v>
      </c>
      <c r="F19" s="16" t="s">
        <v>162</v>
      </c>
      <c r="G19" s="17" t="n">
        <f aca="false">COUNTIF(Banco_Clasificado!$G:$G,$C19)</f>
        <v>0</v>
      </c>
      <c r="H19" s="18" t="s">
        <v>77</v>
      </c>
      <c r="I19" s="18" t="s">
        <v>77</v>
      </c>
      <c r="J19" s="18" t="s">
        <v>77</v>
      </c>
      <c r="K19" s="18" t="s">
        <v>77</v>
      </c>
      <c r="L19" s="18" t="s">
        <v>77</v>
      </c>
      <c r="M19" s="18" t="s">
        <v>77</v>
      </c>
      <c r="N19" s="17"/>
      <c r="O19" s="19" t="s">
        <v>78</v>
      </c>
    </row>
    <row r="20" customFormat="false" ht="34.5" hidden="false" customHeight="true" outlineLevel="0" collapsed="false">
      <c r="A20" s="16" t="s">
        <v>11</v>
      </c>
      <c r="B20" s="16" t="s">
        <v>84</v>
      </c>
      <c r="C20" s="16" t="s">
        <v>163</v>
      </c>
      <c r="D20" s="16" t="s">
        <v>164</v>
      </c>
      <c r="E20" s="16" t="s">
        <v>165</v>
      </c>
      <c r="F20" s="16" t="s">
        <v>166</v>
      </c>
      <c r="G20" s="17" t="n">
        <f aca="false">COUNTIF(Banco_Clasificado!$G:$G,$C20)</f>
        <v>4</v>
      </c>
      <c r="H20" s="18" t="s">
        <v>77</v>
      </c>
      <c r="I20" s="18" t="s">
        <v>77</v>
      </c>
      <c r="J20" s="18" t="s">
        <v>77</v>
      </c>
      <c r="K20" s="18" t="s">
        <v>77</v>
      </c>
      <c r="L20" s="18" t="s">
        <v>77</v>
      </c>
      <c r="M20" s="18" t="s">
        <v>77</v>
      </c>
      <c r="N20" s="17"/>
      <c r="O20" s="19" t="s">
        <v>78</v>
      </c>
    </row>
    <row r="21" customFormat="false" ht="34.5" hidden="false" customHeight="true" outlineLevel="0" collapsed="false">
      <c r="A21" s="16" t="s">
        <v>11</v>
      </c>
      <c r="B21" s="16" t="s">
        <v>89</v>
      </c>
      <c r="C21" s="16" t="s">
        <v>167</v>
      </c>
      <c r="D21" s="16" t="s">
        <v>168</v>
      </c>
      <c r="E21" s="16" t="s">
        <v>169</v>
      </c>
      <c r="F21" s="16" t="s">
        <v>170</v>
      </c>
      <c r="G21" s="17" t="n">
        <f aca="false">COUNTIF(Banco_Clasificado!$G:$G,$C21)</f>
        <v>0</v>
      </c>
      <c r="H21" s="18" t="s">
        <v>77</v>
      </c>
      <c r="I21" s="18" t="s">
        <v>77</v>
      </c>
      <c r="J21" s="18" t="s">
        <v>77</v>
      </c>
      <c r="K21" s="18" t="s">
        <v>77</v>
      </c>
      <c r="L21" s="18" t="s">
        <v>77</v>
      </c>
      <c r="M21" s="18" t="s">
        <v>77</v>
      </c>
      <c r="N21" s="17"/>
      <c r="O21" s="19" t="s">
        <v>78</v>
      </c>
    </row>
    <row r="22" customFormat="false" ht="34.5" hidden="false" customHeight="true" outlineLevel="0" collapsed="false">
      <c r="A22" s="16" t="s">
        <v>11</v>
      </c>
      <c r="B22" s="16" t="s">
        <v>94</v>
      </c>
      <c r="C22" s="16" t="s">
        <v>171</v>
      </c>
      <c r="D22" s="16" t="s">
        <v>172</v>
      </c>
      <c r="E22" s="16" t="s">
        <v>173</v>
      </c>
      <c r="F22" s="16" t="s">
        <v>174</v>
      </c>
      <c r="G22" s="17" t="n">
        <f aca="false">COUNTIF(Banco_Clasificado!$G:$G,$C22)</f>
        <v>0</v>
      </c>
      <c r="H22" s="18" t="s">
        <v>77</v>
      </c>
      <c r="I22" s="18" t="s">
        <v>77</v>
      </c>
      <c r="J22" s="18" t="s">
        <v>77</v>
      </c>
      <c r="K22" s="18" t="s">
        <v>77</v>
      </c>
      <c r="L22" s="18" t="s">
        <v>77</v>
      </c>
      <c r="M22" s="18" t="s">
        <v>77</v>
      </c>
      <c r="N22" s="17"/>
      <c r="O22" s="19" t="s">
        <v>78</v>
      </c>
    </row>
    <row r="23" customFormat="false" ht="23.25" hidden="false" customHeight="true" outlineLevel="0" collapsed="false">
      <c r="A23" s="16" t="s">
        <v>11</v>
      </c>
      <c r="B23" s="16" t="s">
        <v>99</v>
      </c>
      <c r="C23" s="16" t="s">
        <v>175</v>
      </c>
      <c r="D23" s="16" t="s">
        <v>176</v>
      </c>
      <c r="E23" s="16" t="s">
        <v>177</v>
      </c>
      <c r="F23" s="16" t="s">
        <v>178</v>
      </c>
      <c r="G23" s="17" t="n">
        <f aca="false">COUNTIF(Banco_Clasificado!$G:$G,$C23)</f>
        <v>2</v>
      </c>
      <c r="H23" s="18" t="s">
        <v>77</v>
      </c>
      <c r="I23" s="18" t="s">
        <v>77</v>
      </c>
      <c r="J23" s="18" t="s">
        <v>77</v>
      </c>
      <c r="K23" s="18" t="s">
        <v>77</v>
      </c>
      <c r="L23" s="18" t="s">
        <v>77</v>
      </c>
      <c r="M23" s="18" t="s">
        <v>77</v>
      </c>
      <c r="N23" s="17"/>
      <c r="O23" s="20" t="s">
        <v>104</v>
      </c>
    </row>
    <row r="24" customFormat="false" ht="23.25" hidden="false" customHeight="true" outlineLevel="0" collapsed="false">
      <c r="A24" s="16" t="s">
        <v>11</v>
      </c>
      <c r="B24" s="16" t="s">
        <v>105</v>
      </c>
      <c r="C24" s="16" t="s">
        <v>179</v>
      </c>
      <c r="D24" s="16" t="s">
        <v>180</v>
      </c>
      <c r="E24" s="16" t="s">
        <v>181</v>
      </c>
      <c r="F24" s="16" t="s">
        <v>182</v>
      </c>
      <c r="G24" s="17" t="n">
        <f aca="false">COUNTIF(Banco_Clasificado!$G:$G,$C24)</f>
        <v>2</v>
      </c>
      <c r="H24" s="18" t="s">
        <v>77</v>
      </c>
      <c r="I24" s="18" t="s">
        <v>77</v>
      </c>
      <c r="J24" s="18" t="s">
        <v>77</v>
      </c>
      <c r="K24" s="18" t="s">
        <v>77</v>
      </c>
      <c r="L24" s="18" t="s">
        <v>77</v>
      </c>
      <c r="M24" s="18" t="s">
        <v>77</v>
      </c>
      <c r="N24" s="17"/>
      <c r="O24" s="20" t="s">
        <v>104</v>
      </c>
    </row>
    <row r="25" customFormat="false" ht="23.25" hidden="false" customHeight="true" outlineLevel="0" collapsed="false">
      <c r="A25" s="16" t="s">
        <v>11</v>
      </c>
      <c r="B25" s="16" t="s">
        <v>110</v>
      </c>
      <c r="C25" s="16" t="s">
        <v>183</v>
      </c>
      <c r="D25" s="16" t="s">
        <v>184</v>
      </c>
      <c r="E25" s="16" t="s">
        <v>185</v>
      </c>
      <c r="F25" s="16" t="s">
        <v>186</v>
      </c>
      <c r="G25" s="17" t="n">
        <f aca="false">COUNTIF(Banco_Clasificado!$G:$G,$C25)</f>
        <v>3</v>
      </c>
      <c r="H25" s="18" t="s">
        <v>77</v>
      </c>
      <c r="I25" s="18" t="s">
        <v>77</v>
      </c>
      <c r="J25" s="18" t="s">
        <v>77</v>
      </c>
      <c r="K25" s="18" t="s">
        <v>77</v>
      </c>
      <c r="L25" s="18" t="s">
        <v>77</v>
      </c>
      <c r="M25" s="18" t="s">
        <v>77</v>
      </c>
      <c r="N25" s="17"/>
      <c r="O25" s="20" t="s">
        <v>104</v>
      </c>
    </row>
    <row r="26" customFormat="false" ht="23.25" hidden="false" customHeight="true" outlineLevel="0" collapsed="false">
      <c r="A26" s="16" t="s">
        <v>11</v>
      </c>
      <c r="B26" s="16" t="s">
        <v>115</v>
      </c>
      <c r="C26" s="16" t="s">
        <v>187</v>
      </c>
      <c r="D26" s="16" t="s">
        <v>188</v>
      </c>
      <c r="E26" s="16" t="s">
        <v>189</v>
      </c>
      <c r="F26" s="16" t="s">
        <v>190</v>
      </c>
      <c r="G26" s="17" t="n">
        <f aca="false">COUNTIF(Banco_Clasificado!$G:$G,$C26)</f>
        <v>6</v>
      </c>
      <c r="H26" s="18" t="s">
        <v>77</v>
      </c>
      <c r="I26" s="18" t="s">
        <v>77</v>
      </c>
      <c r="J26" s="18" t="s">
        <v>77</v>
      </c>
      <c r="K26" s="18" t="s">
        <v>77</v>
      </c>
      <c r="L26" s="18" t="s">
        <v>77</v>
      </c>
      <c r="M26" s="18" t="s">
        <v>77</v>
      </c>
      <c r="N26" s="17"/>
      <c r="O26" s="20" t="s">
        <v>104</v>
      </c>
    </row>
    <row r="27" customFormat="false" ht="23.25" hidden="false" customHeight="true" outlineLevel="0" collapsed="false">
      <c r="A27" s="16" t="s">
        <v>11</v>
      </c>
      <c r="B27" s="16" t="s">
        <v>120</v>
      </c>
      <c r="C27" s="16" t="s">
        <v>191</v>
      </c>
      <c r="D27" s="16" t="s">
        <v>192</v>
      </c>
      <c r="E27" s="16" t="s">
        <v>193</v>
      </c>
      <c r="F27" s="16" t="s">
        <v>194</v>
      </c>
      <c r="G27" s="17" t="n">
        <f aca="false">COUNTIF(Banco_Clasificado!$G:$G,$C27)</f>
        <v>1</v>
      </c>
      <c r="H27" s="18" t="s">
        <v>77</v>
      </c>
      <c r="I27" s="18" t="s">
        <v>77</v>
      </c>
      <c r="J27" s="18" t="s">
        <v>77</v>
      </c>
      <c r="K27" s="18" t="s">
        <v>77</v>
      </c>
      <c r="L27" s="18" t="s">
        <v>77</v>
      </c>
      <c r="M27" s="18" t="s">
        <v>77</v>
      </c>
      <c r="N27" s="17"/>
      <c r="O27" s="20" t="s">
        <v>104</v>
      </c>
    </row>
    <row r="28" customFormat="false" ht="23.25" hidden="false" customHeight="true" outlineLevel="0" collapsed="false">
      <c r="A28" s="16" t="s">
        <v>11</v>
      </c>
      <c r="B28" s="16" t="s">
        <v>125</v>
      </c>
      <c r="C28" s="16" t="s">
        <v>195</v>
      </c>
      <c r="D28" s="16" t="s">
        <v>196</v>
      </c>
      <c r="E28" s="16" t="s">
        <v>197</v>
      </c>
      <c r="F28" s="16" t="s">
        <v>198</v>
      </c>
      <c r="G28" s="17" t="n">
        <f aca="false">COUNTIF(Banco_Clasificado!$G:$G,$C28)</f>
        <v>1</v>
      </c>
      <c r="H28" s="18" t="s">
        <v>77</v>
      </c>
      <c r="I28" s="18" t="s">
        <v>77</v>
      </c>
      <c r="J28" s="18" t="s">
        <v>77</v>
      </c>
      <c r="K28" s="18" t="s">
        <v>77</v>
      </c>
      <c r="L28" s="18" t="s">
        <v>77</v>
      </c>
      <c r="M28" s="18" t="s">
        <v>77</v>
      </c>
      <c r="N28" s="17"/>
      <c r="O28" s="20" t="s">
        <v>104</v>
      </c>
    </row>
    <row r="29" customFormat="false" ht="34.5" hidden="false" customHeight="true" outlineLevel="0" collapsed="false">
      <c r="A29" s="16" t="s">
        <v>11</v>
      </c>
      <c r="B29" s="16" t="s">
        <v>130</v>
      </c>
      <c r="C29" s="16" t="s">
        <v>199</v>
      </c>
      <c r="D29" s="16" t="s">
        <v>200</v>
      </c>
      <c r="E29" s="16" t="s">
        <v>201</v>
      </c>
      <c r="F29" s="16" t="s">
        <v>202</v>
      </c>
      <c r="G29" s="17" t="n">
        <f aca="false">COUNTIF(Banco_Clasificado!$G:$G,$C29)</f>
        <v>4</v>
      </c>
      <c r="H29" s="18" t="s">
        <v>77</v>
      </c>
      <c r="I29" s="18" t="s">
        <v>77</v>
      </c>
      <c r="J29" s="18" t="s">
        <v>77</v>
      </c>
      <c r="K29" s="18" t="s">
        <v>77</v>
      </c>
      <c r="L29" s="18" t="s">
        <v>77</v>
      </c>
      <c r="M29" s="18" t="s">
        <v>77</v>
      </c>
      <c r="N29" s="17"/>
      <c r="O29" s="20" t="s">
        <v>104</v>
      </c>
    </row>
    <row r="30" customFormat="false" ht="34.5" hidden="false" customHeight="true" outlineLevel="0" collapsed="false">
      <c r="A30" s="16" t="s">
        <v>11</v>
      </c>
      <c r="B30" s="16" t="s">
        <v>135</v>
      </c>
      <c r="C30" s="16" t="s">
        <v>203</v>
      </c>
      <c r="D30" s="16" t="s">
        <v>204</v>
      </c>
      <c r="E30" s="16" t="s">
        <v>205</v>
      </c>
      <c r="F30" s="16" t="s">
        <v>206</v>
      </c>
      <c r="G30" s="17" t="n">
        <f aca="false">COUNTIF(Banco_Clasificado!$G:$G,$C30)</f>
        <v>2</v>
      </c>
      <c r="H30" s="18" t="s">
        <v>77</v>
      </c>
      <c r="I30" s="18" t="s">
        <v>77</v>
      </c>
      <c r="J30" s="18" t="s">
        <v>77</v>
      </c>
      <c r="K30" s="18" t="s">
        <v>77</v>
      </c>
      <c r="L30" s="18" t="s">
        <v>77</v>
      </c>
      <c r="M30" s="18" t="s">
        <v>77</v>
      </c>
      <c r="N30" s="17"/>
      <c r="O30" s="20" t="s">
        <v>104</v>
      </c>
    </row>
    <row r="31" customFormat="false" ht="45.75" hidden="false" customHeight="true" outlineLevel="0" collapsed="false">
      <c r="A31" s="16" t="s">
        <v>11</v>
      </c>
      <c r="B31" s="16" t="s">
        <v>140</v>
      </c>
      <c r="C31" s="16" t="s">
        <v>207</v>
      </c>
      <c r="D31" s="16" t="s">
        <v>208</v>
      </c>
      <c r="E31" s="16" t="s">
        <v>209</v>
      </c>
      <c r="F31" s="16" t="s">
        <v>210</v>
      </c>
      <c r="G31" s="17" t="n">
        <f aca="false">COUNTIF(Banco_Clasificado!$G:$G,$C31)</f>
        <v>2</v>
      </c>
      <c r="H31" s="18" t="s">
        <v>77</v>
      </c>
      <c r="I31" s="18" t="s">
        <v>77</v>
      </c>
      <c r="J31" s="18" t="s">
        <v>77</v>
      </c>
      <c r="K31" s="18" t="s">
        <v>77</v>
      </c>
      <c r="L31" s="18" t="s">
        <v>77</v>
      </c>
      <c r="M31" s="18" t="s">
        <v>77</v>
      </c>
      <c r="N31" s="17"/>
      <c r="O31" s="20" t="s">
        <v>104</v>
      </c>
    </row>
    <row r="32" customFormat="false" ht="45.75" hidden="false" customHeight="true" outlineLevel="0" collapsed="false">
      <c r="A32" s="16" t="s">
        <v>11</v>
      </c>
      <c r="B32" s="16" t="s">
        <v>145</v>
      </c>
      <c r="C32" s="16" t="s">
        <v>211</v>
      </c>
      <c r="D32" s="16" t="s">
        <v>212</v>
      </c>
      <c r="E32" s="16" t="s">
        <v>213</v>
      </c>
      <c r="F32" s="16" t="s">
        <v>214</v>
      </c>
      <c r="G32" s="17" t="n">
        <f aca="false">COUNTIF(Banco_Clasificado!$G:$G,$C32)</f>
        <v>0</v>
      </c>
      <c r="H32" s="18" t="s">
        <v>77</v>
      </c>
      <c r="I32" s="18" t="s">
        <v>77</v>
      </c>
      <c r="J32" s="18" t="s">
        <v>77</v>
      </c>
      <c r="K32" s="18" t="s">
        <v>77</v>
      </c>
      <c r="L32" s="18" t="s">
        <v>77</v>
      </c>
      <c r="M32" s="18" t="s">
        <v>77</v>
      </c>
      <c r="N32" s="17"/>
      <c r="O32" s="20" t="s">
        <v>104</v>
      </c>
    </row>
    <row r="33" customFormat="false" ht="45.75" hidden="false" customHeight="true" outlineLevel="0" collapsed="false">
      <c r="A33" s="16" t="s">
        <v>11</v>
      </c>
      <c r="B33" s="16" t="s">
        <v>150</v>
      </c>
      <c r="C33" s="16" t="s">
        <v>215</v>
      </c>
      <c r="D33" s="16" t="s">
        <v>216</v>
      </c>
      <c r="E33" s="16" t="s">
        <v>217</v>
      </c>
      <c r="F33" s="16" t="s">
        <v>218</v>
      </c>
      <c r="G33" s="17" t="n">
        <f aca="false">COUNTIF(Banco_Clasificado!$G:$G,$C33)</f>
        <v>1</v>
      </c>
      <c r="H33" s="18" t="s">
        <v>77</v>
      </c>
      <c r="I33" s="18" t="s">
        <v>77</v>
      </c>
      <c r="J33" s="18" t="s">
        <v>77</v>
      </c>
      <c r="K33" s="18" t="s">
        <v>77</v>
      </c>
      <c r="L33" s="18" t="s">
        <v>77</v>
      </c>
      <c r="M33" s="18" t="s">
        <v>77</v>
      </c>
      <c r="N33" s="17"/>
      <c r="O33" s="20" t="s">
        <v>104</v>
      </c>
    </row>
    <row r="34" customFormat="false" ht="34.5" hidden="false" customHeight="true" outlineLevel="0" collapsed="false">
      <c r="A34" s="16" t="s">
        <v>12</v>
      </c>
      <c r="B34" s="16" t="s">
        <v>72</v>
      </c>
      <c r="C34" s="16" t="s">
        <v>219</v>
      </c>
      <c r="D34" s="16" t="s">
        <v>220</v>
      </c>
      <c r="E34" s="16" t="s">
        <v>221</v>
      </c>
      <c r="F34" s="16" t="s">
        <v>222</v>
      </c>
      <c r="G34" s="17" t="n">
        <f aca="false">COUNTIF(Banco_Clasificado!$G:$G,$C34)</f>
        <v>2</v>
      </c>
      <c r="H34" s="18" t="s">
        <v>77</v>
      </c>
      <c r="I34" s="18" t="s">
        <v>77</v>
      </c>
      <c r="J34" s="18" t="s">
        <v>77</v>
      </c>
      <c r="K34" s="18" t="s">
        <v>77</v>
      </c>
      <c r="L34" s="18" t="s">
        <v>77</v>
      </c>
      <c r="M34" s="18" t="s">
        <v>77</v>
      </c>
      <c r="N34" s="17"/>
      <c r="O34" s="19" t="s">
        <v>78</v>
      </c>
    </row>
    <row r="35" customFormat="false" ht="34.5" hidden="false" customHeight="true" outlineLevel="0" collapsed="false">
      <c r="A35" s="16" t="s">
        <v>12</v>
      </c>
      <c r="B35" s="16" t="s">
        <v>79</v>
      </c>
      <c r="C35" s="16" t="s">
        <v>223</v>
      </c>
      <c r="D35" s="16" t="s">
        <v>224</v>
      </c>
      <c r="E35" s="16" t="s">
        <v>225</v>
      </c>
      <c r="F35" s="16" t="s">
        <v>226</v>
      </c>
      <c r="G35" s="17" t="n">
        <f aca="false">COUNTIF(Banco_Clasificado!$G:$G,$C35)</f>
        <v>1</v>
      </c>
      <c r="H35" s="18" t="s">
        <v>77</v>
      </c>
      <c r="I35" s="18" t="s">
        <v>77</v>
      </c>
      <c r="J35" s="18" t="s">
        <v>77</v>
      </c>
      <c r="K35" s="18" t="s">
        <v>77</v>
      </c>
      <c r="L35" s="18" t="s">
        <v>77</v>
      </c>
      <c r="M35" s="18" t="s">
        <v>77</v>
      </c>
      <c r="N35" s="17"/>
      <c r="O35" s="19" t="s">
        <v>78</v>
      </c>
    </row>
    <row r="36" customFormat="false" ht="34.5" hidden="false" customHeight="true" outlineLevel="0" collapsed="false">
      <c r="A36" s="16" t="s">
        <v>12</v>
      </c>
      <c r="B36" s="16" t="s">
        <v>84</v>
      </c>
      <c r="C36" s="16" t="s">
        <v>227</v>
      </c>
      <c r="D36" s="16" t="s">
        <v>228</v>
      </c>
      <c r="E36" s="16" t="s">
        <v>229</v>
      </c>
      <c r="F36" s="16" t="s">
        <v>230</v>
      </c>
      <c r="G36" s="17" t="n">
        <f aca="false">COUNTIF(Banco_Clasificado!$G:$G,$C36)</f>
        <v>1</v>
      </c>
      <c r="H36" s="18" t="s">
        <v>77</v>
      </c>
      <c r="I36" s="18" t="s">
        <v>77</v>
      </c>
      <c r="J36" s="18" t="s">
        <v>77</v>
      </c>
      <c r="K36" s="18" t="s">
        <v>77</v>
      </c>
      <c r="L36" s="18" t="s">
        <v>77</v>
      </c>
      <c r="M36" s="18" t="s">
        <v>77</v>
      </c>
      <c r="N36" s="17"/>
      <c r="O36" s="19" t="s">
        <v>78</v>
      </c>
    </row>
    <row r="37" customFormat="false" ht="45.75" hidden="false" customHeight="true" outlineLevel="0" collapsed="false">
      <c r="A37" s="16" t="s">
        <v>12</v>
      </c>
      <c r="B37" s="16" t="s">
        <v>89</v>
      </c>
      <c r="C37" s="16" t="s">
        <v>231</v>
      </c>
      <c r="D37" s="16" t="s">
        <v>232</v>
      </c>
      <c r="E37" s="16" t="s">
        <v>233</v>
      </c>
      <c r="F37" s="16" t="s">
        <v>234</v>
      </c>
      <c r="G37" s="17" t="n">
        <f aca="false">COUNTIF(Banco_Clasificado!$G:$G,$C37)</f>
        <v>0</v>
      </c>
      <c r="H37" s="18" t="s">
        <v>77</v>
      </c>
      <c r="I37" s="18" t="s">
        <v>77</v>
      </c>
      <c r="J37" s="18" t="s">
        <v>77</v>
      </c>
      <c r="K37" s="18" t="s">
        <v>77</v>
      </c>
      <c r="L37" s="18" t="s">
        <v>77</v>
      </c>
      <c r="M37" s="18" t="s">
        <v>77</v>
      </c>
      <c r="N37" s="17"/>
      <c r="O37" s="19" t="s">
        <v>78</v>
      </c>
    </row>
    <row r="38" customFormat="false" ht="23.25" hidden="false" customHeight="true" outlineLevel="0" collapsed="false">
      <c r="A38" s="16" t="s">
        <v>12</v>
      </c>
      <c r="B38" s="16" t="s">
        <v>94</v>
      </c>
      <c r="C38" s="16" t="s">
        <v>235</v>
      </c>
      <c r="D38" s="16" t="s">
        <v>236</v>
      </c>
      <c r="E38" s="16" t="s">
        <v>237</v>
      </c>
      <c r="F38" s="16" t="s">
        <v>238</v>
      </c>
      <c r="G38" s="17" t="n">
        <f aca="false">COUNTIF(Banco_Clasificado!$G:$G,$C38)</f>
        <v>0</v>
      </c>
      <c r="H38" s="18" t="s">
        <v>77</v>
      </c>
      <c r="I38" s="18" t="s">
        <v>77</v>
      </c>
      <c r="J38" s="18" t="s">
        <v>77</v>
      </c>
      <c r="K38" s="18" t="s">
        <v>77</v>
      </c>
      <c r="L38" s="18" t="s">
        <v>77</v>
      </c>
      <c r="M38" s="18" t="s">
        <v>77</v>
      </c>
      <c r="N38" s="17"/>
      <c r="O38" s="19" t="s">
        <v>78</v>
      </c>
    </row>
    <row r="39" customFormat="false" ht="34.5" hidden="false" customHeight="true" outlineLevel="0" collapsed="false">
      <c r="A39" s="16" t="s">
        <v>12</v>
      </c>
      <c r="B39" s="16" t="s">
        <v>99</v>
      </c>
      <c r="C39" s="16" t="s">
        <v>239</v>
      </c>
      <c r="D39" s="16" t="s">
        <v>240</v>
      </c>
      <c r="E39" s="16" t="s">
        <v>241</v>
      </c>
      <c r="F39" s="16" t="s">
        <v>242</v>
      </c>
      <c r="G39" s="17" t="n">
        <f aca="false">COUNTIF(Banco_Clasificado!$G:$G,$C39)</f>
        <v>1</v>
      </c>
      <c r="H39" s="18" t="s">
        <v>77</v>
      </c>
      <c r="I39" s="18" t="s">
        <v>77</v>
      </c>
      <c r="J39" s="18" t="s">
        <v>77</v>
      </c>
      <c r="K39" s="18" t="s">
        <v>77</v>
      </c>
      <c r="L39" s="18" t="s">
        <v>77</v>
      </c>
      <c r="M39" s="18" t="s">
        <v>77</v>
      </c>
      <c r="N39" s="17"/>
      <c r="O39" s="20" t="s">
        <v>104</v>
      </c>
    </row>
    <row r="40" customFormat="false" ht="34.5" hidden="false" customHeight="true" outlineLevel="0" collapsed="false">
      <c r="A40" s="16" t="s">
        <v>12</v>
      </c>
      <c r="B40" s="16" t="s">
        <v>105</v>
      </c>
      <c r="C40" s="16" t="s">
        <v>243</v>
      </c>
      <c r="D40" s="16" t="s">
        <v>244</v>
      </c>
      <c r="E40" s="16" t="s">
        <v>245</v>
      </c>
      <c r="F40" s="16" t="s">
        <v>246</v>
      </c>
      <c r="G40" s="17" t="n">
        <f aca="false">COUNTIF(Banco_Clasificado!$G:$G,$C40)</f>
        <v>0</v>
      </c>
      <c r="H40" s="18" t="s">
        <v>77</v>
      </c>
      <c r="I40" s="18" t="s">
        <v>77</v>
      </c>
      <c r="J40" s="18" t="s">
        <v>77</v>
      </c>
      <c r="K40" s="18" t="s">
        <v>77</v>
      </c>
      <c r="L40" s="18" t="s">
        <v>77</v>
      </c>
      <c r="M40" s="18" t="s">
        <v>77</v>
      </c>
      <c r="N40" s="17"/>
      <c r="O40" s="20" t="s">
        <v>104</v>
      </c>
    </row>
    <row r="41" customFormat="false" ht="34.5" hidden="false" customHeight="true" outlineLevel="0" collapsed="false">
      <c r="A41" s="16" t="s">
        <v>12</v>
      </c>
      <c r="B41" s="16" t="s">
        <v>110</v>
      </c>
      <c r="C41" s="16" t="s">
        <v>247</v>
      </c>
      <c r="D41" s="16" t="s">
        <v>248</v>
      </c>
      <c r="E41" s="16" t="s">
        <v>249</v>
      </c>
      <c r="F41" s="16" t="s">
        <v>250</v>
      </c>
      <c r="G41" s="17" t="n">
        <f aca="false">COUNTIF(Banco_Clasificado!$G:$G,$C41)</f>
        <v>0</v>
      </c>
      <c r="H41" s="18" t="s">
        <v>77</v>
      </c>
      <c r="I41" s="18" t="s">
        <v>77</v>
      </c>
      <c r="J41" s="18" t="s">
        <v>77</v>
      </c>
      <c r="K41" s="18" t="s">
        <v>77</v>
      </c>
      <c r="L41" s="18" t="s">
        <v>77</v>
      </c>
      <c r="M41" s="18" t="s">
        <v>77</v>
      </c>
      <c r="N41" s="17"/>
      <c r="O41" s="20" t="s">
        <v>104</v>
      </c>
    </row>
    <row r="42" customFormat="false" ht="45.75" hidden="false" customHeight="true" outlineLevel="0" collapsed="false">
      <c r="A42" s="16" t="s">
        <v>13</v>
      </c>
      <c r="B42" s="16" t="s">
        <v>72</v>
      </c>
      <c r="C42" s="16" t="s">
        <v>251</v>
      </c>
      <c r="D42" s="16" t="s">
        <v>252</v>
      </c>
      <c r="E42" s="16" t="s">
        <v>253</v>
      </c>
      <c r="F42" s="16" t="s">
        <v>254</v>
      </c>
      <c r="G42" s="17" t="n">
        <f aca="false">COUNTIF(Banco_Clasificado!$G:$G,$C42)</f>
        <v>3</v>
      </c>
      <c r="H42" s="18" t="s">
        <v>77</v>
      </c>
      <c r="I42" s="18" t="s">
        <v>77</v>
      </c>
      <c r="J42" s="18" t="s">
        <v>77</v>
      </c>
      <c r="K42" s="18" t="s">
        <v>77</v>
      </c>
      <c r="L42" s="18" t="s">
        <v>77</v>
      </c>
      <c r="M42" s="18" t="s">
        <v>77</v>
      </c>
      <c r="N42" s="17"/>
      <c r="O42" s="20" t="s">
        <v>104</v>
      </c>
    </row>
    <row r="43" customFormat="false" ht="23.25" hidden="false" customHeight="true" outlineLevel="0" collapsed="false">
      <c r="A43" s="16" t="s">
        <v>13</v>
      </c>
      <c r="B43" s="16" t="s">
        <v>79</v>
      </c>
      <c r="C43" s="16" t="s">
        <v>255</v>
      </c>
      <c r="D43" s="16" t="s">
        <v>256</v>
      </c>
      <c r="E43" s="16" t="s">
        <v>257</v>
      </c>
      <c r="F43" s="16" t="s">
        <v>258</v>
      </c>
      <c r="G43" s="17" t="n">
        <f aca="false">COUNTIF(Banco_Clasificado!$G:$G,$C43)</f>
        <v>2</v>
      </c>
      <c r="H43" s="18" t="s">
        <v>77</v>
      </c>
      <c r="I43" s="18" t="s">
        <v>77</v>
      </c>
      <c r="J43" s="18" t="s">
        <v>77</v>
      </c>
      <c r="K43" s="18" t="s">
        <v>77</v>
      </c>
      <c r="L43" s="18" t="s">
        <v>77</v>
      </c>
      <c r="M43" s="18" t="s">
        <v>77</v>
      </c>
      <c r="N43" s="17"/>
      <c r="O43" s="20" t="s">
        <v>104</v>
      </c>
    </row>
    <row r="44" customFormat="false" ht="45.75" hidden="false" customHeight="true" outlineLevel="0" collapsed="false">
      <c r="A44" s="16" t="s">
        <v>13</v>
      </c>
      <c r="B44" s="16" t="s">
        <v>84</v>
      </c>
      <c r="C44" s="16" t="s">
        <v>259</v>
      </c>
      <c r="D44" s="16" t="s">
        <v>260</v>
      </c>
      <c r="E44" s="16" t="s">
        <v>261</v>
      </c>
      <c r="F44" s="16" t="s">
        <v>262</v>
      </c>
      <c r="G44" s="17" t="n">
        <f aca="false">COUNTIF(Banco_Clasificado!$G:$G,$C44)</f>
        <v>0</v>
      </c>
      <c r="H44" s="18" t="s">
        <v>77</v>
      </c>
      <c r="I44" s="18" t="s">
        <v>77</v>
      </c>
      <c r="J44" s="18" t="s">
        <v>77</v>
      </c>
      <c r="K44" s="18" t="s">
        <v>77</v>
      </c>
      <c r="L44" s="18" t="s">
        <v>77</v>
      </c>
      <c r="M44" s="18" t="s">
        <v>77</v>
      </c>
      <c r="N44" s="17"/>
      <c r="O44" s="20" t="s">
        <v>104</v>
      </c>
    </row>
    <row r="45" customFormat="false" ht="34.5" hidden="false" customHeight="true" outlineLevel="0" collapsed="false">
      <c r="A45" s="16" t="s">
        <v>13</v>
      </c>
      <c r="B45" s="16" t="s">
        <v>89</v>
      </c>
      <c r="C45" s="16" t="s">
        <v>263</v>
      </c>
      <c r="D45" s="16" t="s">
        <v>264</v>
      </c>
      <c r="E45" s="16" t="s">
        <v>265</v>
      </c>
      <c r="F45" s="16" t="s">
        <v>266</v>
      </c>
      <c r="G45" s="17" t="n">
        <f aca="false">COUNTIF(Banco_Clasificado!$G:$G,$C45)</f>
        <v>2</v>
      </c>
      <c r="H45" s="18" t="s">
        <v>77</v>
      </c>
      <c r="I45" s="18" t="s">
        <v>77</v>
      </c>
      <c r="J45" s="18" t="s">
        <v>77</v>
      </c>
      <c r="K45" s="18" t="s">
        <v>77</v>
      </c>
      <c r="L45" s="18" t="s">
        <v>77</v>
      </c>
      <c r="M45" s="18" t="s">
        <v>77</v>
      </c>
      <c r="N45" s="17"/>
      <c r="O45" s="20" t="s">
        <v>104</v>
      </c>
    </row>
    <row r="46" customFormat="false" ht="23.25" hidden="false" customHeight="true" outlineLevel="0" collapsed="false">
      <c r="A46" s="16" t="s">
        <v>13</v>
      </c>
      <c r="B46" s="16" t="s">
        <v>94</v>
      </c>
      <c r="C46" s="16" t="s">
        <v>267</v>
      </c>
      <c r="D46" s="16" t="s">
        <v>268</v>
      </c>
      <c r="E46" s="16" t="s">
        <v>269</v>
      </c>
      <c r="F46" s="16" t="s">
        <v>270</v>
      </c>
      <c r="G46" s="17" t="n">
        <f aca="false">COUNTIF(Banco_Clasificado!$G:$G,$C46)</f>
        <v>1</v>
      </c>
      <c r="H46" s="18" t="s">
        <v>77</v>
      </c>
      <c r="I46" s="18" t="s">
        <v>77</v>
      </c>
      <c r="J46" s="18" t="s">
        <v>77</v>
      </c>
      <c r="K46" s="18" t="s">
        <v>77</v>
      </c>
      <c r="L46" s="18" t="s">
        <v>77</v>
      </c>
      <c r="M46" s="18" t="s">
        <v>77</v>
      </c>
      <c r="N46" s="17"/>
      <c r="O46" s="20" t="s">
        <v>104</v>
      </c>
    </row>
    <row r="47" customFormat="false" ht="34.5" hidden="false" customHeight="true" outlineLevel="0" collapsed="false">
      <c r="A47" s="16" t="s">
        <v>13</v>
      </c>
      <c r="B47" s="16" t="s">
        <v>99</v>
      </c>
      <c r="C47" s="16" t="s">
        <v>271</v>
      </c>
      <c r="D47" s="16" t="s">
        <v>272</v>
      </c>
      <c r="E47" s="16" t="s">
        <v>273</v>
      </c>
      <c r="F47" s="16" t="s">
        <v>274</v>
      </c>
      <c r="G47" s="17" t="n">
        <f aca="false">COUNTIF(Banco_Clasificado!$G:$G,$C47)</f>
        <v>0</v>
      </c>
      <c r="H47" s="18" t="s">
        <v>77</v>
      </c>
      <c r="I47" s="18" t="s">
        <v>77</v>
      </c>
      <c r="J47" s="18" t="s">
        <v>77</v>
      </c>
      <c r="K47" s="18" t="s">
        <v>77</v>
      </c>
      <c r="L47" s="18" t="s">
        <v>77</v>
      </c>
      <c r="M47" s="18" t="s">
        <v>77</v>
      </c>
      <c r="N47" s="17"/>
      <c r="O47" s="20" t="s">
        <v>104</v>
      </c>
    </row>
    <row r="48" customFormat="false" ht="34.5" hidden="false" customHeight="true" outlineLevel="0" collapsed="false">
      <c r="A48" s="16" t="s">
        <v>13</v>
      </c>
      <c r="B48" s="16" t="s">
        <v>105</v>
      </c>
      <c r="C48" s="16" t="s">
        <v>275</v>
      </c>
      <c r="D48" s="16" t="s">
        <v>276</v>
      </c>
      <c r="E48" s="16" t="s">
        <v>277</v>
      </c>
      <c r="F48" s="16" t="s">
        <v>278</v>
      </c>
      <c r="G48" s="17" t="n">
        <f aca="false">COUNTIF(Banco_Clasificado!$G:$G,$C48)</f>
        <v>0</v>
      </c>
      <c r="H48" s="18" t="s">
        <v>77</v>
      </c>
      <c r="I48" s="18" t="s">
        <v>77</v>
      </c>
      <c r="J48" s="18" t="s">
        <v>77</v>
      </c>
      <c r="K48" s="18" t="s">
        <v>77</v>
      </c>
      <c r="L48" s="18" t="s">
        <v>77</v>
      </c>
      <c r="M48" s="18" t="s">
        <v>77</v>
      </c>
      <c r="N48" s="17"/>
      <c r="O48" s="20" t="s">
        <v>104</v>
      </c>
    </row>
    <row r="49" customFormat="false" ht="34.5" hidden="false" customHeight="true" outlineLevel="0" collapsed="false">
      <c r="A49" s="16" t="s">
        <v>13</v>
      </c>
      <c r="B49" s="16" t="s">
        <v>110</v>
      </c>
      <c r="C49" s="16" t="s">
        <v>279</v>
      </c>
      <c r="D49" s="16" t="s">
        <v>280</v>
      </c>
      <c r="E49" s="16" t="s">
        <v>281</v>
      </c>
      <c r="F49" s="16" t="s">
        <v>282</v>
      </c>
      <c r="G49" s="17" t="n">
        <f aca="false">COUNTIF(Banco_Clasificado!$G:$G,$C49)</f>
        <v>0</v>
      </c>
      <c r="H49" s="18" t="s">
        <v>77</v>
      </c>
      <c r="I49" s="18" t="s">
        <v>77</v>
      </c>
      <c r="J49" s="18" t="s">
        <v>77</v>
      </c>
      <c r="K49" s="18" t="s">
        <v>77</v>
      </c>
      <c r="L49" s="18" t="s">
        <v>77</v>
      </c>
      <c r="M49" s="18" t="s">
        <v>77</v>
      </c>
      <c r="N49" s="17"/>
      <c r="O49" s="20" t="s">
        <v>104</v>
      </c>
    </row>
    <row r="50" customFormat="false" ht="45.75" hidden="false" customHeight="true" outlineLevel="0" collapsed="false">
      <c r="A50" s="16" t="s">
        <v>14</v>
      </c>
      <c r="B50" s="16" t="s">
        <v>72</v>
      </c>
      <c r="C50" s="16" t="s">
        <v>283</v>
      </c>
      <c r="D50" s="16" t="s">
        <v>284</v>
      </c>
      <c r="E50" s="16" t="s">
        <v>285</v>
      </c>
      <c r="F50" s="16" t="s">
        <v>286</v>
      </c>
      <c r="G50" s="17" t="n">
        <f aca="false">COUNTIF(Banco_Clasificado!$G:$G,$C50)</f>
        <v>0</v>
      </c>
      <c r="H50" s="18" t="s">
        <v>77</v>
      </c>
      <c r="I50" s="18" t="s">
        <v>77</v>
      </c>
      <c r="J50" s="18" t="s">
        <v>77</v>
      </c>
      <c r="K50" s="18" t="s">
        <v>77</v>
      </c>
      <c r="L50" s="18" t="s">
        <v>77</v>
      </c>
      <c r="M50" s="18" t="s">
        <v>77</v>
      </c>
      <c r="N50" s="17"/>
      <c r="O50" s="19" t="s">
        <v>78</v>
      </c>
    </row>
    <row r="51" customFormat="false" ht="34.5" hidden="false" customHeight="true" outlineLevel="0" collapsed="false">
      <c r="A51" s="16" t="s">
        <v>14</v>
      </c>
      <c r="B51" s="16" t="s">
        <v>79</v>
      </c>
      <c r="C51" s="16" t="s">
        <v>287</v>
      </c>
      <c r="D51" s="16" t="s">
        <v>288</v>
      </c>
      <c r="E51" s="16" t="s">
        <v>289</v>
      </c>
      <c r="F51" s="16" t="s">
        <v>290</v>
      </c>
      <c r="G51" s="17" t="n">
        <f aca="false">COUNTIF(Banco_Clasificado!$G:$G,$C51)</f>
        <v>0</v>
      </c>
      <c r="H51" s="18" t="s">
        <v>77</v>
      </c>
      <c r="I51" s="18" t="s">
        <v>77</v>
      </c>
      <c r="J51" s="18" t="s">
        <v>77</v>
      </c>
      <c r="K51" s="18" t="s">
        <v>77</v>
      </c>
      <c r="L51" s="18" t="s">
        <v>77</v>
      </c>
      <c r="M51" s="18" t="s">
        <v>77</v>
      </c>
      <c r="N51" s="17"/>
      <c r="O51" s="19" t="s">
        <v>78</v>
      </c>
    </row>
    <row r="52" customFormat="false" ht="34.5" hidden="false" customHeight="true" outlineLevel="0" collapsed="false">
      <c r="A52" s="16" t="s">
        <v>14</v>
      </c>
      <c r="B52" s="16" t="s">
        <v>84</v>
      </c>
      <c r="C52" s="16" t="s">
        <v>291</v>
      </c>
      <c r="D52" s="16" t="s">
        <v>292</v>
      </c>
      <c r="E52" s="16" t="s">
        <v>293</v>
      </c>
      <c r="F52" s="16" t="s">
        <v>294</v>
      </c>
      <c r="G52" s="17" t="n">
        <f aca="false">COUNTIF(Banco_Clasificado!$G:$G,$C52)</f>
        <v>1</v>
      </c>
      <c r="H52" s="18" t="s">
        <v>77</v>
      </c>
      <c r="I52" s="18" t="s">
        <v>77</v>
      </c>
      <c r="J52" s="18" t="s">
        <v>77</v>
      </c>
      <c r="K52" s="18" t="s">
        <v>77</v>
      </c>
      <c r="L52" s="18" t="s">
        <v>77</v>
      </c>
      <c r="M52" s="18" t="s">
        <v>77</v>
      </c>
      <c r="N52" s="17"/>
      <c r="O52" s="19" t="s">
        <v>78</v>
      </c>
    </row>
    <row r="53" customFormat="false" ht="34.5" hidden="false" customHeight="true" outlineLevel="0" collapsed="false">
      <c r="A53" s="16" t="s">
        <v>14</v>
      </c>
      <c r="B53" s="16" t="s">
        <v>89</v>
      </c>
      <c r="C53" s="16" t="s">
        <v>295</v>
      </c>
      <c r="D53" s="16" t="s">
        <v>296</v>
      </c>
      <c r="E53" s="16" t="s">
        <v>297</v>
      </c>
      <c r="F53" s="16" t="s">
        <v>298</v>
      </c>
      <c r="G53" s="17" t="n">
        <f aca="false">COUNTIF(Banco_Clasificado!$G:$G,$C53)</f>
        <v>6</v>
      </c>
      <c r="H53" s="18" t="s">
        <v>77</v>
      </c>
      <c r="I53" s="18" t="s">
        <v>77</v>
      </c>
      <c r="J53" s="18" t="s">
        <v>77</v>
      </c>
      <c r="K53" s="18" t="s">
        <v>77</v>
      </c>
      <c r="L53" s="18" t="s">
        <v>77</v>
      </c>
      <c r="M53" s="18" t="s">
        <v>77</v>
      </c>
      <c r="N53" s="17"/>
      <c r="O53" s="19" t="s">
        <v>78</v>
      </c>
    </row>
    <row r="54" customFormat="false" ht="34.5" hidden="false" customHeight="true" outlineLevel="0" collapsed="false">
      <c r="A54" s="16" t="s">
        <v>14</v>
      </c>
      <c r="B54" s="16" t="s">
        <v>94</v>
      </c>
      <c r="C54" s="16" t="s">
        <v>299</v>
      </c>
      <c r="D54" s="16" t="s">
        <v>300</v>
      </c>
      <c r="E54" s="16" t="s">
        <v>301</v>
      </c>
      <c r="F54" s="16" t="s">
        <v>302</v>
      </c>
      <c r="G54" s="17" t="n">
        <f aca="false">COUNTIF(Banco_Clasificado!$G:$G,$C54)</f>
        <v>0</v>
      </c>
      <c r="H54" s="18" t="s">
        <v>77</v>
      </c>
      <c r="I54" s="18" t="s">
        <v>77</v>
      </c>
      <c r="J54" s="18" t="s">
        <v>77</v>
      </c>
      <c r="K54" s="18" t="s">
        <v>77</v>
      </c>
      <c r="L54" s="18" t="s">
        <v>77</v>
      </c>
      <c r="M54" s="18" t="s">
        <v>77</v>
      </c>
      <c r="N54" s="17"/>
      <c r="O54" s="19" t="s">
        <v>78</v>
      </c>
    </row>
    <row r="55" customFormat="false" ht="34.5" hidden="false" customHeight="true" outlineLevel="0" collapsed="false">
      <c r="A55" s="16" t="s">
        <v>14</v>
      </c>
      <c r="B55" s="16" t="s">
        <v>99</v>
      </c>
      <c r="C55" s="16" t="s">
        <v>303</v>
      </c>
      <c r="D55" s="16" t="s">
        <v>304</v>
      </c>
      <c r="E55" s="16" t="s">
        <v>305</v>
      </c>
      <c r="F55" s="16" t="s">
        <v>306</v>
      </c>
      <c r="G55" s="17" t="n">
        <f aca="false">COUNTIF(Banco_Clasificado!$G:$G,$C55)</f>
        <v>1</v>
      </c>
      <c r="H55" s="18" t="s">
        <v>77</v>
      </c>
      <c r="I55" s="18" t="s">
        <v>77</v>
      </c>
      <c r="J55" s="18" t="s">
        <v>77</v>
      </c>
      <c r="K55" s="18" t="s">
        <v>77</v>
      </c>
      <c r="L55" s="18" t="s">
        <v>77</v>
      </c>
      <c r="M55" s="18" t="s">
        <v>77</v>
      </c>
      <c r="N55" s="17"/>
      <c r="O55" s="20" t="s">
        <v>104</v>
      </c>
    </row>
    <row r="56" customFormat="false" ht="23.25" hidden="false" customHeight="true" outlineLevel="0" collapsed="false">
      <c r="A56" s="16" t="s">
        <v>14</v>
      </c>
      <c r="B56" s="16" t="s">
        <v>105</v>
      </c>
      <c r="C56" s="16" t="s">
        <v>307</v>
      </c>
      <c r="D56" s="16" t="s">
        <v>308</v>
      </c>
      <c r="E56" s="16" t="s">
        <v>309</v>
      </c>
      <c r="F56" s="16" t="s">
        <v>310</v>
      </c>
      <c r="G56" s="17" t="n">
        <f aca="false">COUNTIF(Banco_Clasificado!$G:$G,$C56)</f>
        <v>0</v>
      </c>
      <c r="H56" s="18" t="s">
        <v>77</v>
      </c>
      <c r="I56" s="18" t="s">
        <v>77</v>
      </c>
      <c r="J56" s="18" t="s">
        <v>77</v>
      </c>
      <c r="K56" s="18" t="s">
        <v>77</v>
      </c>
      <c r="L56" s="18" t="s">
        <v>77</v>
      </c>
      <c r="M56" s="18" t="s">
        <v>77</v>
      </c>
      <c r="N56" s="17"/>
      <c r="O56" s="20" t="s">
        <v>104</v>
      </c>
    </row>
    <row r="57" customFormat="false" ht="34.5" hidden="false" customHeight="true" outlineLevel="0" collapsed="false">
      <c r="A57" s="16" t="s">
        <v>14</v>
      </c>
      <c r="B57" s="16" t="s">
        <v>110</v>
      </c>
      <c r="C57" s="16" t="s">
        <v>311</v>
      </c>
      <c r="D57" s="16" t="s">
        <v>312</v>
      </c>
      <c r="E57" s="16" t="s">
        <v>313</v>
      </c>
      <c r="F57" s="16" t="s">
        <v>314</v>
      </c>
      <c r="G57" s="17" t="n">
        <f aca="false">COUNTIF(Banco_Clasificado!$G:$G,$C57)</f>
        <v>0</v>
      </c>
      <c r="H57" s="18" t="s">
        <v>77</v>
      </c>
      <c r="I57" s="18" t="s">
        <v>77</v>
      </c>
      <c r="J57" s="18" t="s">
        <v>77</v>
      </c>
      <c r="K57" s="18" t="s">
        <v>77</v>
      </c>
      <c r="L57" s="18" t="s">
        <v>77</v>
      </c>
      <c r="M57" s="18" t="s">
        <v>77</v>
      </c>
      <c r="N57" s="17"/>
      <c r="O57" s="20" t="s">
        <v>104</v>
      </c>
    </row>
    <row r="58" customFormat="false" ht="34.5" hidden="false" customHeight="true" outlineLevel="0" collapsed="false">
      <c r="A58" s="16" t="s">
        <v>14</v>
      </c>
      <c r="B58" s="16" t="s">
        <v>115</v>
      </c>
      <c r="C58" s="16" t="s">
        <v>315</v>
      </c>
      <c r="D58" s="16" t="s">
        <v>316</v>
      </c>
      <c r="E58" s="16" t="s">
        <v>317</v>
      </c>
      <c r="F58" s="16" t="s">
        <v>318</v>
      </c>
      <c r="G58" s="17" t="n">
        <f aca="false">COUNTIF(Banco_Clasificado!$G:$G,$C58)</f>
        <v>0</v>
      </c>
      <c r="H58" s="18" t="s">
        <v>77</v>
      </c>
      <c r="I58" s="18" t="s">
        <v>77</v>
      </c>
      <c r="J58" s="18" t="s">
        <v>77</v>
      </c>
      <c r="K58" s="18" t="s">
        <v>77</v>
      </c>
      <c r="L58" s="18" t="s">
        <v>77</v>
      </c>
      <c r="M58" s="18" t="s">
        <v>77</v>
      </c>
      <c r="N58" s="17"/>
      <c r="O58" s="20" t="s">
        <v>104</v>
      </c>
    </row>
    <row r="59" customFormat="false" ht="34.5" hidden="false" customHeight="true" outlineLevel="0" collapsed="false">
      <c r="A59" s="16" t="s">
        <v>14</v>
      </c>
      <c r="B59" s="16" t="s">
        <v>120</v>
      </c>
      <c r="C59" s="16" t="s">
        <v>319</v>
      </c>
      <c r="D59" s="16" t="s">
        <v>320</v>
      </c>
      <c r="E59" s="16" t="s">
        <v>321</v>
      </c>
      <c r="F59" s="16" t="s">
        <v>322</v>
      </c>
      <c r="G59" s="17" t="n">
        <f aca="false">COUNTIF(Banco_Clasificado!$G:$G,$C59)</f>
        <v>0</v>
      </c>
      <c r="H59" s="18" t="s">
        <v>77</v>
      </c>
      <c r="I59" s="18" t="s">
        <v>77</v>
      </c>
      <c r="J59" s="18" t="s">
        <v>77</v>
      </c>
      <c r="K59" s="18" t="s">
        <v>77</v>
      </c>
      <c r="L59" s="18" t="s">
        <v>77</v>
      </c>
      <c r="M59" s="18" t="s">
        <v>77</v>
      </c>
      <c r="N59" s="17"/>
      <c r="O59" s="20" t="s">
        <v>104</v>
      </c>
    </row>
    <row r="60" customFormat="false" ht="34.5" hidden="false" customHeight="true" outlineLevel="0" collapsed="false">
      <c r="A60" s="16" t="s">
        <v>14</v>
      </c>
      <c r="B60" s="16" t="s">
        <v>125</v>
      </c>
      <c r="C60" s="16" t="s">
        <v>323</v>
      </c>
      <c r="D60" s="16" t="s">
        <v>324</v>
      </c>
      <c r="E60" s="16" t="s">
        <v>325</v>
      </c>
      <c r="F60" s="16" t="s">
        <v>326</v>
      </c>
      <c r="G60" s="17" t="n">
        <f aca="false">COUNTIF(Banco_Clasificado!$G:$G,$C60)</f>
        <v>1</v>
      </c>
      <c r="H60" s="18" t="s">
        <v>77</v>
      </c>
      <c r="I60" s="18" t="s">
        <v>77</v>
      </c>
      <c r="J60" s="18" t="s">
        <v>77</v>
      </c>
      <c r="K60" s="18" t="s">
        <v>77</v>
      </c>
      <c r="L60" s="18" t="s">
        <v>77</v>
      </c>
      <c r="M60" s="18" t="s">
        <v>77</v>
      </c>
      <c r="N60" s="17"/>
      <c r="O60" s="20" t="s">
        <v>104</v>
      </c>
    </row>
    <row r="61" customFormat="false" ht="34.5" hidden="false" customHeight="true" outlineLevel="0" collapsed="false">
      <c r="A61" s="16" t="s">
        <v>14</v>
      </c>
      <c r="B61" s="16" t="s">
        <v>130</v>
      </c>
      <c r="C61" s="16" t="s">
        <v>327</v>
      </c>
      <c r="D61" s="16" t="s">
        <v>328</v>
      </c>
      <c r="E61" s="16" t="s">
        <v>329</v>
      </c>
      <c r="F61" s="16" t="s">
        <v>330</v>
      </c>
      <c r="G61" s="17" t="n">
        <f aca="false">COUNTIF(Banco_Clasificado!$G:$G,$C61)</f>
        <v>0</v>
      </c>
      <c r="H61" s="18" t="s">
        <v>77</v>
      </c>
      <c r="I61" s="18" t="s">
        <v>77</v>
      </c>
      <c r="J61" s="18" t="s">
        <v>77</v>
      </c>
      <c r="K61" s="18" t="s">
        <v>77</v>
      </c>
      <c r="L61" s="18" t="s">
        <v>77</v>
      </c>
      <c r="M61" s="18" t="s">
        <v>77</v>
      </c>
      <c r="N61" s="17"/>
      <c r="O61" s="20" t="s">
        <v>104</v>
      </c>
    </row>
    <row r="62" customFormat="false" ht="34.5" hidden="false" customHeight="true" outlineLevel="0" collapsed="false">
      <c r="A62" s="16" t="s">
        <v>14</v>
      </c>
      <c r="B62" s="16" t="s">
        <v>135</v>
      </c>
      <c r="C62" s="16" t="s">
        <v>331</v>
      </c>
      <c r="D62" s="16" t="s">
        <v>332</v>
      </c>
      <c r="E62" s="16" t="s">
        <v>333</v>
      </c>
      <c r="F62" s="16" t="s">
        <v>334</v>
      </c>
      <c r="G62" s="17" t="n">
        <f aca="false">COUNTIF(Banco_Clasificado!$G:$G,$C62)</f>
        <v>1</v>
      </c>
      <c r="H62" s="18" t="s">
        <v>77</v>
      </c>
      <c r="I62" s="18" t="s">
        <v>77</v>
      </c>
      <c r="J62" s="18" t="s">
        <v>77</v>
      </c>
      <c r="K62" s="18" t="s">
        <v>77</v>
      </c>
      <c r="L62" s="18" t="s">
        <v>77</v>
      </c>
      <c r="M62" s="18" t="s">
        <v>77</v>
      </c>
      <c r="N62" s="17"/>
      <c r="O62" s="20" t="s">
        <v>104</v>
      </c>
    </row>
    <row r="63" customFormat="false" ht="34.5" hidden="false" customHeight="true" outlineLevel="0" collapsed="false">
      <c r="A63" s="16" t="s">
        <v>14</v>
      </c>
      <c r="B63" s="16" t="s">
        <v>140</v>
      </c>
      <c r="C63" s="16" t="s">
        <v>335</v>
      </c>
      <c r="D63" s="16" t="s">
        <v>336</v>
      </c>
      <c r="E63" s="16" t="s">
        <v>337</v>
      </c>
      <c r="F63" s="16" t="s">
        <v>338</v>
      </c>
      <c r="G63" s="17" t="n">
        <f aca="false">COUNTIF(Banco_Clasificado!$G:$G,$C63)</f>
        <v>0</v>
      </c>
      <c r="H63" s="18" t="s">
        <v>77</v>
      </c>
      <c r="I63" s="18" t="s">
        <v>77</v>
      </c>
      <c r="J63" s="18" t="s">
        <v>77</v>
      </c>
      <c r="K63" s="18" t="s">
        <v>77</v>
      </c>
      <c r="L63" s="18" t="s">
        <v>77</v>
      </c>
      <c r="M63" s="18" t="s">
        <v>77</v>
      </c>
      <c r="N63" s="17"/>
      <c r="O63" s="20" t="s">
        <v>104</v>
      </c>
    </row>
    <row r="64" customFormat="false" ht="34.5" hidden="false" customHeight="true" outlineLevel="0" collapsed="false">
      <c r="A64" s="16" t="s">
        <v>14</v>
      </c>
      <c r="B64" s="16" t="s">
        <v>145</v>
      </c>
      <c r="C64" s="16" t="s">
        <v>339</v>
      </c>
      <c r="D64" s="16" t="s">
        <v>340</v>
      </c>
      <c r="E64" s="16" t="s">
        <v>341</v>
      </c>
      <c r="F64" s="16" t="s">
        <v>342</v>
      </c>
      <c r="G64" s="17" t="n">
        <f aca="false">COUNTIF(Banco_Clasificado!$G:$G,$C64)</f>
        <v>4</v>
      </c>
      <c r="H64" s="18" t="s">
        <v>77</v>
      </c>
      <c r="I64" s="18" t="s">
        <v>77</v>
      </c>
      <c r="J64" s="18" t="s">
        <v>77</v>
      </c>
      <c r="K64" s="18" t="s">
        <v>77</v>
      </c>
      <c r="L64" s="18" t="s">
        <v>77</v>
      </c>
      <c r="M64" s="18" t="s">
        <v>77</v>
      </c>
      <c r="N64" s="17"/>
      <c r="O64" s="20" t="s">
        <v>104</v>
      </c>
    </row>
    <row r="65" customFormat="false" ht="45.75" hidden="false" customHeight="true" outlineLevel="0" collapsed="false">
      <c r="A65" s="16" t="s">
        <v>14</v>
      </c>
      <c r="B65" s="16" t="s">
        <v>150</v>
      </c>
      <c r="C65" s="16" t="s">
        <v>343</v>
      </c>
      <c r="D65" s="16" t="s">
        <v>344</v>
      </c>
      <c r="E65" s="16" t="s">
        <v>345</v>
      </c>
      <c r="F65" s="16" t="s">
        <v>346</v>
      </c>
      <c r="G65" s="17" t="n">
        <f aca="false">COUNTIF(Banco_Clasificado!$G:$G,$C65)</f>
        <v>0</v>
      </c>
      <c r="H65" s="18" t="s">
        <v>77</v>
      </c>
      <c r="I65" s="18" t="s">
        <v>77</v>
      </c>
      <c r="J65" s="18" t="s">
        <v>77</v>
      </c>
      <c r="K65" s="18" t="s">
        <v>77</v>
      </c>
      <c r="L65" s="18" t="s">
        <v>77</v>
      </c>
      <c r="M65" s="18" t="s">
        <v>77</v>
      </c>
      <c r="N65" s="17"/>
      <c r="O65" s="20" t="s">
        <v>104</v>
      </c>
    </row>
  </sheetData>
  <dataValidations count="1">
    <dataValidation allowBlank="true" errorStyle="stop" operator="between" showDropDown="false" showErrorMessage="false" showInputMessage="false" sqref="H2:M65" type="list">
      <formula1>"Pendiente,En progreso,Listo"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26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26"/>
    <col collapsed="false" customWidth="true" hidden="false" outlineLevel="0" max="9" min="9" style="1" width="45"/>
    <col collapsed="false" customWidth="true" hidden="false" outlineLevel="0" max="10" min="10" style="1" width="16"/>
  </cols>
  <sheetData>
    <row r="1" customFormat="false" ht="31.5" hidden="false" customHeight="true" outlineLevel="0" collapsed="false">
      <c r="A1" s="5" t="s">
        <v>347</v>
      </c>
      <c r="B1" s="5" t="s">
        <v>2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  <c r="H1" s="5" t="s">
        <v>353</v>
      </c>
      <c r="I1" s="5" t="s">
        <v>354</v>
      </c>
      <c r="J1" s="5" t="s">
        <v>355</v>
      </c>
    </row>
    <row r="2" customFormat="false" ht="34.5" hidden="false" customHeight="true" outlineLevel="0" collapsed="false">
      <c r="A2" s="16" t="s">
        <v>356</v>
      </c>
      <c r="B2" s="16" t="s">
        <v>10</v>
      </c>
      <c r="C2" s="16" t="s">
        <v>357</v>
      </c>
      <c r="D2" s="16" t="s">
        <v>358</v>
      </c>
      <c r="E2" s="16"/>
      <c r="F2" s="16"/>
      <c r="G2" s="16" t="s">
        <v>359</v>
      </c>
      <c r="H2" s="21" t="s">
        <v>360</v>
      </c>
      <c r="I2" s="16" t="s">
        <v>361</v>
      </c>
      <c r="J2" s="16"/>
    </row>
    <row r="3" customFormat="false" ht="34.5" hidden="false" customHeight="true" outlineLevel="0" collapsed="false">
      <c r="A3" s="16" t="s">
        <v>362</v>
      </c>
      <c r="B3" s="16" t="s">
        <v>10</v>
      </c>
      <c r="C3" s="16" t="s">
        <v>357</v>
      </c>
      <c r="D3" s="16" t="s">
        <v>358</v>
      </c>
      <c r="E3" s="16"/>
      <c r="F3" s="16" t="s">
        <v>105</v>
      </c>
      <c r="G3" s="16" t="s">
        <v>106</v>
      </c>
      <c r="H3" s="22" t="s">
        <v>363</v>
      </c>
      <c r="I3" s="16" t="s">
        <v>364</v>
      </c>
      <c r="J3" s="16"/>
    </row>
    <row r="4" customFormat="false" ht="34.5" hidden="false" customHeight="true" outlineLevel="0" collapsed="false">
      <c r="A4" s="16" t="s">
        <v>365</v>
      </c>
      <c r="B4" s="16" t="s">
        <v>10</v>
      </c>
      <c r="C4" s="16" t="s">
        <v>357</v>
      </c>
      <c r="D4" s="16" t="s">
        <v>358</v>
      </c>
      <c r="E4" s="16"/>
      <c r="F4" s="16"/>
      <c r="G4" s="16" t="s">
        <v>359</v>
      </c>
      <c r="H4" s="21" t="s">
        <v>360</v>
      </c>
      <c r="I4" s="16" t="s">
        <v>366</v>
      </c>
      <c r="J4" s="16"/>
    </row>
    <row r="5" customFormat="false" ht="34.5" hidden="false" customHeight="true" outlineLevel="0" collapsed="false">
      <c r="A5" s="16" t="s">
        <v>367</v>
      </c>
      <c r="B5" s="16" t="s">
        <v>10</v>
      </c>
      <c r="C5" s="16" t="s">
        <v>357</v>
      </c>
      <c r="D5" s="16" t="s">
        <v>358</v>
      </c>
      <c r="E5" s="16"/>
      <c r="F5" s="16" t="s">
        <v>115</v>
      </c>
      <c r="G5" s="16" t="s">
        <v>116</v>
      </c>
      <c r="H5" s="22" t="s">
        <v>363</v>
      </c>
      <c r="I5" s="16" t="s">
        <v>368</v>
      </c>
      <c r="J5" s="16"/>
    </row>
    <row r="6" customFormat="false" ht="34.5" hidden="false" customHeight="true" outlineLevel="0" collapsed="false">
      <c r="A6" s="16" t="s">
        <v>369</v>
      </c>
      <c r="B6" s="16" t="s">
        <v>10</v>
      </c>
      <c r="C6" s="16" t="s">
        <v>357</v>
      </c>
      <c r="D6" s="16" t="s">
        <v>358</v>
      </c>
      <c r="E6" s="16"/>
      <c r="F6" s="16" t="s">
        <v>130</v>
      </c>
      <c r="G6" s="16" t="s">
        <v>131</v>
      </c>
      <c r="H6" s="22" t="s">
        <v>363</v>
      </c>
      <c r="I6" s="16" t="s">
        <v>370</v>
      </c>
      <c r="J6" s="16"/>
    </row>
    <row r="7" customFormat="false" ht="34.5" hidden="false" customHeight="true" outlineLevel="0" collapsed="false">
      <c r="A7" s="16" t="s">
        <v>371</v>
      </c>
      <c r="B7" s="16" t="s">
        <v>10</v>
      </c>
      <c r="C7" s="16" t="s">
        <v>357</v>
      </c>
      <c r="D7" s="16" t="s">
        <v>358</v>
      </c>
      <c r="E7" s="16"/>
      <c r="F7" s="16"/>
      <c r="G7" s="16" t="s">
        <v>359</v>
      </c>
      <c r="H7" s="21" t="s">
        <v>360</v>
      </c>
      <c r="I7" s="16" t="s">
        <v>372</v>
      </c>
      <c r="J7" s="16"/>
    </row>
    <row r="8" customFormat="false" ht="34.5" hidden="false" customHeight="true" outlineLevel="0" collapsed="false">
      <c r="A8" s="16" t="s">
        <v>373</v>
      </c>
      <c r="B8" s="16" t="s">
        <v>10</v>
      </c>
      <c r="C8" s="16" t="s">
        <v>357</v>
      </c>
      <c r="D8" s="16" t="s">
        <v>358</v>
      </c>
      <c r="E8" s="16"/>
      <c r="F8" s="16"/>
      <c r="G8" s="16" t="s">
        <v>359</v>
      </c>
      <c r="H8" s="21" t="s">
        <v>360</v>
      </c>
      <c r="I8" s="16" t="s">
        <v>374</v>
      </c>
      <c r="J8" s="16"/>
    </row>
    <row r="9" customFormat="false" ht="34.5" hidden="false" customHeight="true" outlineLevel="0" collapsed="false">
      <c r="A9" s="16" t="s">
        <v>375</v>
      </c>
      <c r="B9" s="16" t="s">
        <v>10</v>
      </c>
      <c r="C9" s="16" t="s">
        <v>357</v>
      </c>
      <c r="D9" s="16" t="s">
        <v>358</v>
      </c>
      <c r="E9" s="16"/>
      <c r="F9" s="16"/>
      <c r="G9" s="16" t="s">
        <v>359</v>
      </c>
      <c r="H9" s="21" t="s">
        <v>360</v>
      </c>
      <c r="I9" s="16" t="s">
        <v>376</v>
      </c>
      <c r="J9" s="16"/>
    </row>
    <row r="10" customFormat="false" ht="34.5" hidden="false" customHeight="true" outlineLevel="0" collapsed="false">
      <c r="A10" s="16" t="s">
        <v>377</v>
      </c>
      <c r="B10" s="16" t="s">
        <v>10</v>
      </c>
      <c r="C10" s="16" t="s">
        <v>357</v>
      </c>
      <c r="D10" s="16" t="s">
        <v>358</v>
      </c>
      <c r="E10" s="16"/>
      <c r="F10" s="16"/>
      <c r="G10" s="16" t="s">
        <v>359</v>
      </c>
      <c r="H10" s="21" t="s">
        <v>360</v>
      </c>
      <c r="I10" s="16" t="s">
        <v>378</v>
      </c>
      <c r="J10" s="16"/>
    </row>
    <row r="11" customFormat="false" ht="34.5" hidden="false" customHeight="true" outlineLevel="0" collapsed="false">
      <c r="A11" s="16" t="s">
        <v>379</v>
      </c>
      <c r="B11" s="16" t="s">
        <v>10</v>
      </c>
      <c r="C11" s="16" t="s">
        <v>357</v>
      </c>
      <c r="D11" s="16" t="s">
        <v>358</v>
      </c>
      <c r="E11" s="16"/>
      <c r="F11" s="16" t="s">
        <v>105</v>
      </c>
      <c r="G11" s="16" t="s">
        <v>106</v>
      </c>
      <c r="H11" s="22" t="s">
        <v>363</v>
      </c>
      <c r="I11" s="16" t="s">
        <v>380</v>
      </c>
      <c r="J11" s="16"/>
    </row>
    <row r="12" customFormat="false" ht="34.5" hidden="false" customHeight="true" outlineLevel="0" collapsed="false">
      <c r="A12" s="16" t="s">
        <v>381</v>
      </c>
      <c r="B12" s="16" t="s">
        <v>10</v>
      </c>
      <c r="C12" s="16" t="s">
        <v>357</v>
      </c>
      <c r="D12" s="16" t="s">
        <v>358</v>
      </c>
      <c r="E12" s="16"/>
      <c r="F12" s="16"/>
      <c r="G12" s="16" t="s">
        <v>359</v>
      </c>
      <c r="H12" s="21" t="s">
        <v>360</v>
      </c>
      <c r="I12" s="16" t="s">
        <v>382</v>
      </c>
      <c r="J12" s="16"/>
    </row>
    <row r="13" customFormat="false" ht="34.5" hidden="false" customHeight="true" outlineLevel="0" collapsed="false">
      <c r="A13" s="16" t="s">
        <v>383</v>
      </c>
      <c r="B13" s="16" t="s">
        <v>10</v>
      </c>
      <c r="C13" s="16" t="s">
        <v>357</v>
      </c>
      <c r="D13" s="16" t="s">
        <v>358</v>
      </c>
      <c r="E13" s="16"/>
      <c r="F13" s="16" t="s">
        <v>130</v>
      </c>
      <c r="G13" s="16" t="s">
        <v>131</v>
      </c>
      <c r="H13" s="22" t="s">
        <v>363</v>
      </c>
      <c r="I13" s="16" t="s">
        <v>384</v>
      </c>
      <c r="J13" s="16"/>
    </row>
    <row r="14" customFormat="false" ht="34.5" hidden="false" customHeight="true" outlineLevel="0" collapsed="false">
      <c r="A14" s="16" t="s">
        <v>385</v>
      </c>
      <c r="B14" s="16" t="s">
        <v>10</v>
      </c>
      <c r="C14" s="16" t="s">
        <v>357</v>
      </c>
      <c r="D14" s="16" t="s">
        <v>358</v>
      </c>
      <c r="E14" s="16"/>
      <c r="F14" s="16"/>
      <c r="G14" s="16" t="s">
        <v>359</v>
      </c>
      <c r="H14" s="21" t="s">
        <v>360</v>
      </c>
      <c r="I14" s="16" t="s">
        <v>386</v>
      </c>
      <c r="J14" s="16"/>
    </row>
    <row r="15" customFormat="false" ht="34.5" hidden="false" customHeight="true" outlineLevel="0" collapsed="false">
      <c r="A15" s="16" t="s">
        <v>387</v>
      </c>
      <c r="B15" s="16" t="s">
        <v>10</v>
      </c>
      <c r="C15" s="16" t="s">
        <v>357</v>
      </c>
      <c r="D15" s="16" t="s">
        <v>358</v>
      </c>
      <c r="E15" s="16"/>
      <c r="F15" s="16"/>
      <c r="G15" s="16" t="s">
        <v>359</v>
      </c>
      <c r="H15" s="21" t="s">
        <v>360</v>
      </c>
      <c r="I15" s="16" t="s">
        <v>388</v>
      </c>
      <c r="J15" s="16"/>
    </row>
    <row r="16" customFormat="false" ht="34.5" hidden="false" customHeight="true" outlineLevel="0" collapsed="false">
      <c r="A16" s="16" t="s">
        <v>389</v>
      </c>
      <c r="B16" s="16" t="s">
        <v>10</v>
      </c>
      <c r="C16" s="16" t="s">
        <v>357</v>
      </c>
      <c r="D16" s="16" t="s">
        <v>358</v>
      </c>
      <c r="E16" s="16"/>
      <c r="F16" s="16"/>
      <c r="G16" s="16" t="s">
        <v>359</v>
      </c>
      <c r="H16" s="21" t="s">
        <v>360</v>
      </c>
      <c r="I16" s="16" t="s">
        <v>390</v>
      </c>
      <c r="J16" s="16"/>
    </row>
    <row r="17" customFormat="false" ht="34.5" hidden="false" customHeight="true" outlineLevel="0" collapsed="false">
      <c r="A17" s="16" t="s">
        <v>391</v>
      </c>
      <c r="B17" s="16" t="s">
        <v>10</v>
      </c>
      <c r="C17" s="16" t="s">
        <v>357</v>
      </c>
      <c r="D17" s="16" t="s">
        <v>358</v>
      </c>
      <c r="E17" s="16"/>
      <c r="F17" s="16"/>
      <c r="G17" s="16" t="s">
        <v>359</v>
      </c>
      <c r="H17" s="21" t="s">
        <v>360</v>
      </c>
      <c r="I17" s="16" t="s">
        <v>392</v>
      </c>
      <c r="J17" s="16"/>
    </row>
    <row r="18" customFormat="false" ht="34.5" hidden="false" customHeight="true" outlineLevel="0" collapsed="false">
      <c r="A18" s="16" t="s">
        <v>393</v>
      </c>
      <c r="B18" s="16" t="s">
        <v>10</v>
      </c>
      <c r="C18" s="16" t="s">
        <v>357</v>
      </c>
      <c r="D18" s="16" t="s">
        <v>358</v>
      </c>
      <c r="E18" s="16"/>
      <c r="F18" s="16" t="s">
        <v>130</v>
      </c>
      <c r="G18" s="16" t="s">
        <v>131</v>
      </c>
      <c r="H18" s="22" t="s">
        <v>363</v>
      </c>
      <c r="I18" s="16" t="s">
        <v>394</v>
      </c>
      <c r="J18" s="16"/>
    </row>
    <row r="19" customFormat="false" ht="34.5" hidden="false" customHeight="true" outlineLevel="0" collapsed="false">
      <c r="A19" s="16" t="s">
        <v>395</v>
      </c>
      <c r="B19" s="16" t="s">
        <v>10</v>
      </c>
      <c r="C19" s="16" t="s">
        <v>357</v>
      </c>
      <c r="D19" s="16" t="s">
        <v>358</v>
      </c>
      <c r="E19" s="16"/>
      <c r="F19" s="16" t="s">
        <v>125</v>
      </c>
      <c r="G19" s="16" t="s">
        <v>126</v>
      </c>
      <c r="H19" s="22" t="s">
        <v>363</v>
      </c>
      <c r="I19" s="16" t="s">
        <v>396</v>
      </c>
      <c r="J19" s="16"/>
    </row>
    <row r="20" customFormat="false" ht="34.5" hidden="false" customHeight="true" outlineLevel="0" collapsed="false">
      <c r="A20" s="16" t="s">
        <v>397</v>
      </c>
      <c r="B20" s="16" t="s">
        <v>10</v>
      </c>
      <c r="C20" s="16" t="s">
        <v>357</v>
      </c>
      <c r="D20" s="16" t="s">
        <v>358</v>
      </c>
      <c r="E20" s="16"/>
      <c r="F20" s="16"/>
      <c r="G20" s="16" t="s">
        <v>359</v>
      </c>
      <c r="H20" s="21" t="s">
        <v>360</v>
      </c>
      <c r="I20" s="16" t="s">
        <v>398</v>
      </c>
      <c r="J20" s="16"/>
    </row>
    <row r="21" customFormat="false" ht="34.5" hidden="false" customHeight="true" outlineLevel="0" collapsed="false">
      <c r="A21" s="16" t="s">
        <v>399</v>
      </c>
      <c r="B21" s="16" t="s">
        <v>10</v>
      </c>
      <c r="C21" s="16" t="s">
        <v>357</v>
      </c>
      <c r="D21" s="16" t="s">
        <v>358</v>
      </c>
      <c r="E21" s="16"/>
      <c r="F21" s="16" t="s">
        <v>145</v>
      </c>
      <c r="G21" s="16" t="s">
        <v>146</v>
      </c>
      <c r="H21" s="23" t="s">
        <v>400</v>
      </c>
      <c r="I21" s="16" t="s">
        <v>401</v>
      </c>
      <c r="J21" s="16"/>
    </row>
    <row r="22" customFormat="false" ht="34.5" hidden="false" customHeight="true" outlineLevel="0" collapsed="false">
      <c r="A22" s="16" t="s">
        <v>402</v>
      </c>
      <c r="B22" s="16" t="s">
        <v>10</v>
      </c>
      <c r="C22" s="16" t="s">
        <v>357</v>
      </c>
      <c r="D22" s="16" t="s">
        <v>358</v>
      </c>
      <c r="E22" s="16"/>
      <c r="F22" s="16"/>
      <c r="G22" s="16" t="s">
        <v>359</v>
      </c>
      <c r="H22" s="21" t="s">
        <v>360</v>
      </c>
      <c r="I22" s="16" t="s">
        <v>403</v>
      </c>
      <c r="J22" s="16"/>
    </row>
    <row r="23" customFormat="false" ht="34.5" hidden="false" customHeight="true" outlineLevel="0" collapsed="false">
      <c r="A23" s="16" t="s">
        <v>404</v>
      </c>
      <c r="B23" s="16" t="s">
        <v>10</v>
      </c>
      <c r="C23" s="16" t="s">
        <v>357</v>
      </c>
      <c r="D23" s="16" t="s">
        <v>358</v>
      </c>
      <c r="E23" s="16"/>
      <c r="F23" s="16" t="s">
        <v>72</v>
      </c>
      <c r="G23" s="16" t="s">
        <v>73</v>
      </c>
      <c r="H23" s="22" t="s">
        <v>363</v>
      </c>
      <c r="I23" s="16" t="s">
        <v>405</v>
      </c>
      <c r="J23" s="16"/>
    </row>
    <row r="24" customFormat="false" ht="34.5" hidden="false" customHeight="true" outlineLevel="0" collapsed="false">
      <c r="A24" s="16" t="s">
        <v>406</v>
      </c>
      <c r="B24" s="16" t="s">
        <v>10</v>
      </c>
      <c r="C24" s="16" t="s">
        <v>357</v>
      </c>
      <c r="D24" s="16" t="s">
        <v>358</v>
      </c>
      <c r="E24" s="16"/>
      <c r="F24" s="16" t="s">
        <v>130</v>
      </c>
      <c r="G24" s="16" t="s">
        <v>131</v>
      </c>
      <c r="H24" s="22" t="s">
        <v>363</v>
      </c>
      <c r="I24" s="16" t="s">
        <v>407</v>
      </c>
      <c r="J24" s="16"/>
    </row>
    <row r="25" customFormat="false" ht="34.5" hidden="false" customHeight="true" outlineLevel="0" collapsed="false">
      <c r="A25" s="16" t="s">
        <v>408</v>
      </c>
      <c r="B25" s="16" t="s">
        <v>10</v>
      </c>
      <c r="C25" s="16" t="s">
        <v>357</v>
      </c>
      <c r="D25" s="16" t="s">
        <v>358</v>
      </c>
      <c r="E25" s="16"/>
      <c r="F25" s="16"/>
      <c r="G25" s="16" t="s">
        <v>359</v>
      </c>
      <c r="H25" s="21" t="s">
        <v>360</v>
      </c>
      <c r="I25" s="16" t="s">
        <v>409</v>
      </c>
      <c r="J25" s="16"/>
    </row>
    <row r="26" customFormat="false" ht="34.5" hidden="false" customHeight="true" outlineLevel="0" collapsed="false">
      <c r="A26" s="16" t="s">
        <v>410</v>
      </c>
      <c r="B26" s="16" t="s">
        <v>10</v>
      </c>
      <c r="C26" s="16" t="s">
        <v>357</v>
      </c>
      <c r="D26" s="16" t="s">
        <v>358</v>
      </c>
      <c r="E26" s="16"/>
      <c r="F26" s="16"/>
      <c r="G26" s="16" t="s">
        <v>359</v>
      </c>
      <c r="H26" s="21" t="s">
        <v>360</v>
      </c>
      <c r="I26" s="16" t="s">
        <v>411</v>
      </c>
      <c r="J26" s="16"/>
    </row>
    <row r="27" customFormat="false" ht="34.5" hidden="false" customHeight="true" outlineLevel="0" collapsed="false">
      <c r="A27" s="16" t="s">
        <v>412</v>
      </c>
      <c r="B27" s="16" t="s">
        <v>10</v>
      </c>
      <c r="C27" s="16" t="s">
        <v>357</v>
      </c>
      <c r="D27" s="16" t="s">
        <v>358</v>
      </c>
      <c r="E27" s="16"/>
      <c r="F27" s="16"/>
      <c r="G27" s="16" t="s">
        <v>359</v>
      </c>
      <c r="H27" s="21" t="s">
        <v>360</v>
      </c>
      <c r="I27" s="16" t="s">
        <v>413</v>
      </c>
      <c r="J27" s="16"/>
    </row>
    <row r="28" customFormat="false" ht="34.5" hidden="false" customHeight="true" outlineLevel="0" collapsed="false">
      <c r="A28" s="16" t="s">
        <v>414</v>
      </c>
      <c r="B28" s="16" t="s">
        <v>10</v>
      </c>
      <c r="C28" s="16" t="s">
        <v>357</v>
      </c>
      <c r="D28" s="16" t="s">
        <v>358</v>
      </c>
      <c r="E28" s="16"/>
      <c r="F28" s="16"/>
      <c r="G28" s="16" t="s">
        <v>359</v>
      </c>
      <c r="H28" s="21" t="s">
        <v>360</v>
      </c>
      <c r="I28" s="16" t="s">
        <v>415</v>
      </c>
      <c r="J28" s="16"/>
    </row>
    <row r="29" customFormat="false" ht="34.5" hidden="false" customHeight="true" outlineLevel="0" collapsed="false">
      <c r="A29" s="16" t="s">
        <v>416</v>
      </c>
      <c r="B29" s="16" t="s">
        <v>10</v>
      </c>
      <c r="C29" s="16" t="s">
        <v>357</v>
      </c>
      <c r="D29" s="16" t="s">
        <v>358</v>
      </c>
      <c r="E29" s="16"/>
      <c r="F29" s="16"/>
      <c r="G29" s="16" t="s">
        <v>359</v>
      </c>
      <c r="H29" s="21" t="s">
        <v>360</v>
      </c>
      <c r="I29" s="16" t="s">
        <v>417</v>
      </c>
      <c r="J29" s="16"/>
    </row>
    <row r="30" customFormat="false" ht="34.5" hidden="false" customHeight="true" outlineLevel="0" collapsed="false">
      <c r="A30" s="16" t="s">
        <v>418</v>
      </c>
      <c r="B30" s="16" t="s">
        <v>10</v>
      </c>
      <c r="C30" s="16" t="s">
        <v>357</v>
      </c>
      <c r="D30" s="16" t="s">
        <v>358</v>
      </c>
      <c r="E30" s="16"/>
      <c r="F30" s="16"/>
      <c r="G30" s="16" t="s">
        <v>359</v>
      </c>
      <c r="H30" s="21" t="s">
        <v>360</v>
      </c>
      <c r="I30" s="16" t="s">
        <v>419</v>
      </c>
      <c r="J30" s="16"/>
    </row>
    <row r="31" customFormat="false" ht="34.5" hidden="false" customHeight="true" outlineLevel="0" collapsed="false">
      <c r="A31" s="16" t="s">
        <v>420</v>
      </c>
      <c r="B31" s="16" t="s">
        <v>10</v>
      </c>
      <c r="C31" s="16" t="s">
        <v>357</v>
      </c>
      <c r="D31" s="16" t="s">
        <v>358</v>
      </c>
      <c r="E31" s="16"/>
      <c r="F31" s="16"/>
      <c r="G31" s="16" t="s">
        <v>359</v>
      </c>
      <c r="H31" s="21" t="s">
        <v>360</v>
      </c>
      <c r="I31" s="16" t="s">
        <v>421</v>
      </c>
      <c r="J31" s="16"/>
    </row>
    <row r="32" customFormat="false" ht="34.5" hidden="false" customHeight="true" outlineLevel="0" collapsed="false">
      <c r="A32" s="16" t="s">
        <v>422</v>
      </c>
      <c r="B32" s="16" t="s">
        <v>10</v>
      </c>
      <c r="C32" s="16" t="s">
        <v>357</v>
      </c>
      <c r="D32" s="16" t="s">
        <v>358</v>
      </c>
      <c r="E32" s="16"/>
      <c r="F32" s="16"/>
      <c r="G32" s="16" t="s">
        <v>359</v>
      </c>
      <c r="H32" s="21" t="s">
        <v>360</v>
      </c>
      <c r="I32" s="16" t="s">
        <v>423</v>
      </c>
      <c r="J32" s="16"/>
    </row>
    <row r="33" customFormat="false" ht="34.5" hidden="false" customHeight="true" outlineLevel="0" collapsed="false">
      <c r="A33" s="16" t="s">
        <v>424</v>
      </c>
      <c r="B33" s="16" t="s">
        <v>10</v>
      </c>
      <c r="C33" s="16" t="s">
        <v>357</v>
      </c>
      <c r="D33" s="16" t="s">
        <v>358</v>
      </c>
      <c r="E33" s="16"/>
      <c r="F33" s="16"/>
      <c r="G33" s="16" t="s">
        <v>359</v>
      </c>
      <c r="H33" s="21" t="s">
        <v>360</v>
      </c>
      <c r="I33" s="16" t="s">
        <v>425</v>
      </c>
      <c r="J33" s="16"/>
    </row>
    <row r="34" customFormat="false" ht="34.5" hidden="false" customHeight="true" outlineLevel="0" collapsed="false">
      <c r="A34" s="16" t="s">
        <v>426</v>
      </c>
      <c r="B34" s="16" t="s">
        <v>10</v>
      </c>
      <c r="C34" s="16" t="s">
        <v>357</v>
      </c>
      <c r="D34" s="16" t="s">
        <v>358</v>
      </c>
      <c r="E34" s="16"/>
      <c r="F34" s="16" t="s">
        <v>115</v>
      </c>
      <c r="G34" s="16" t="s">
        <v>116</v>
      </c>
      <c r="H34" s="22" t="s">
        <v>363</v>
      </c>
      <c r="I34" s="16" t="s">
        <v>427</v>
      </c>
      <c r="J34" s="16"/>
    </row>
    <row r="35" customFormat="false" ht="34.5" hidden="false" customHeight="true" outlineLevel="0" collapsed="false">
      <c r="A35" s="16" t="s">
        <v>428</v>
      </c>
      <c r="B35" s="16" t="s">
        <v>10</v>
      </c>
      <c r="C35" s="16" t="s">
        <v>357</v>
      </c>
      <c r="D35" s="16" t="s">
        <v>358</v>
      </c>
      <c r="E35" s="16"/>
      <c r="F35" s="16"/>
      <c r="G35" s="16" t="s">
        <v>359</v>
      </c>
      <c r="H35" s="21" t="s">
        <v>360</v>
      </c>
      <c r="I35" s="16" t="s">
        <v>429</v>
      </c>
      <c r="J35" s="16"/>
    </row>
    <row r="36" customFormat="false" ht="34.5" hidden="false" customHeight="true" outlineLevel="0" collapsed="false">
      <c r="A36" s="16" t="s">
        <v>430</v>
      </c>
      <c r="B36" s="16" t="s">
        <v>10</v>
      </c>
      <c r="C36" s="16" t="s">
        <v>357</v>
      </c>
      <c r="D36" s="16" t="s">
        <v>358</v>
      </c>
      <c r="E36" s="16"/>
      <c r="F36" s="16"/>
      <c r="G36" s="16" t="s">
        <v>359</v>
      </c>
      <c r="H36" s="21" t="s">
        <v>360</v>
      </c>
      <c r="I36" s="16" t="s">
        <v>431</v>
      </c>
      <c r="J36" s="16"/>
    </row>
    <row r="37" customFormat="false" ht="34.5" hidden="false" customHeight="true" outlineLevel="0" collapsed="false">
      <c r="A37" s="16" t="s">
        <v>432</v>
      </c>
      <c r="B37" s="16" t="s">
        <v>10</v>
      </c>
      <c r="C37" s="16" t="s">
        <v>357</v>
      </c>
      <c r="D37" s="16" t="s">
        <v>358</v>
      </c>
      <c r="E37" s="16"/>
      <c r="F37" s="16"/>
      <c r="G37" s="16" t="s">
        <v>359</v>
      </c>
      <c r="H37" s="21" t="s">
        <v>360</v>
      </c>
      <c r="I37" s="16" t="s">
        <v>433</v>
      </c>
      <c r="J37" s="16"/>
    </row>
    <row r="38" customFormat="false" ht="34.5" hidden="false" customHeight="true" outlineLevel="0" collapsed="false">
      <c r="A38" s="16" t="s">
        <v>434</v>
      </c>
      <c r="B38" s="16" t="s">
        <v>10</v>
      </c>
      <c r="C38" s="16" t="s">
        <v>357</v>
      </c>
      <c r="D38" s="16" t="s">
        <v>358</v>
      </c>
      <c r="E38" s="16"/>
      <c r="F38" s="16"/>
      <c r="G38" s="16" t="s">
        <v>359</v>
      </c>
      <c r="H38" s="21" t="s">
        <v>360</v>
      </c>
      <c r="I38" s="16" t="s">
        <v>435</v>
      </c>
      <c r="J38" s="16"/>
    </row>
    <row r="39" customFormat="false" ht="34.5" hidden="false" customHeight="true" outlineLevel="0" collapsed="false">
      <c r="A39" s="16" t="s">
        <v>436</v>
      </c>
      <c r="B39" s="16" t="s">
        <v>10</v>
      </c>
      <c r="C39" s="16" t="s">
        <v>357</v>
      </c>
      <c r="D39" s="16" t="s">
        <v>358</v>
      </c>
      <c r="E39" s="16"/>
      <c r="F39" s="16"/>
      <c r="G39" s="16" t="s">
        <v>359</v>
      </c>
      <c r="H39" s="21" t="s">
        <v>360</v>
      </c>
      <c r="I39" s="16" t="s">
        <v>437</v>
      </c>
      <c r="J39" s="16"/>
    </row>
    <row r="40" customFormat="false" ht="34.5" hidden="false" customHeight="true" outlineLevel="0" collapsed="false">
      <c r="A40" s="16" t="s">
        <v>438</v>
      </c>
      <c r="B40" s="16" t="s">
        <v>10</v>
      </c>
      <c r="C40" s="16" t="s">
        <v>357</v>
      </c>
      <c r="D40" s="16" t="s">
        <v>358</v>
      </c>
      <c r="E40" s="16"/>
      <c r="F40" s="16"/>
      <c r="G40" s="16" t="s">
        <v>359</v>
      </c>
      <c r="H40" s="21" t="s">
        <v>360</v>
      </c>
      <c r="I40" s="16" t="s">
        <v>439</v>
      </c>
      <c r="J40" s="16"/>
    </row>
    <row r="41" customFormat="false" ht="34.5" hidden="false" customHeight="true" outlineLevel="0" collapsed="false">
      <c r="A41" s="16" t="s">
        <v>440</v>
      </c>
      <c r="B41" s="16" t="s">
        <v>10</v>
      </c>
      <c r="C41" s="16" t="s">
        <v>357</v>
      </c>
      <c r="D41" s="16" t="s">
        <v>358</v>
      </c>
      <c r="E41" s="16"/>
      <c r="F41" s="16"/>
      <c r="G41" s="16" t="s">
        <v>359</v>
      </c>
      <c r="H41" s="21" t="s">
        <v>360</v>
      </c>
      <c r="I41" s="16" t="s">
        <v>441</v>
      </c>
      <c r="J41" s="16"/>
    </row>
    <row r="42" customFormat="false" ht="34.5" hidden="false" customHeight="true" outlineLevel="0" collapsed="false">
      <c r="A42" s="16" t="s">
        <v>442</v>
      </c>
      <c r="B42" s="16" t="s">
        <v>10</v>
      </c>
      <c r="C42" s="16" t="s">
        <v>357</v>
      </c>
      <c r="D42" s="16" t="s">
        <v>358</v>
      </c>
      <c r="E42" s="16"/>
      <c r="F42" s="16" t="s">
        <v>145</v>
      </c>
      <c r="G42" s="16" t="s">
        <v>146</v>
      </c>
      <c r="H42" s="22" t="s">
        <v>363</v>
      </c>
      <c r="I42" s="16" t="s">
        <v>443</v>
      </c>
      <c r="J42" s="16"/>
    </row>
    <row r="43" customFormat="false" ht="34.5" hidden="false" customHeight="true" outlineLevel="0" collapsed="false">
      <c r="A43" s="16" t="s">
        <v>444</v>
      </c>
      <c r="B43" s="16" t="s">
        <v>10</v>
      </c>
      <c r="C43" s="16" t="s">
        <v>357</v>
      </c>
      <c r="D43" s="16" t="s">
        <v>358</v>
      </c>
      <c r="E43" s="16"/>
      <c r="F43" s="16" t="s">
        <v>140</v>
      </c>
      <c r="G43" s="16" t="s">
        <v>141</v>
      </c>
      <c r="H43" s="22" t="s">
        <v>363</v>
      </c>
      <c r="I43" s="16" t="s">
        <v>445</v>
      </c>
      <c r="J43" s="16"/>
    </row>
    <row r="44" customFormat="false" ht="34.5" hidden="false" customHeight="true" outlineLevel="0" collapsed="false">
      <c r="A44" s="16" t="s">
        <v>446</v>
      </c>
      <c r="B44" s="16" t="s">
        <v>10</v>
      </c>
      <c r="C44" s="16" t="s">
        <v>357</v>
      </c>
      <c r="D44" s="16" t="s">
        <v>358</v>
      </c>
      <c r="E44" s="16"/>
      <c r="F44" s="16"/>
      <c r="G44" s="16" t="s">
        <v>359</v>
      </c>
      <c r="H44" s="21" t="s">
        <v>360</v>
      </c>
      <c r="I44" s="16" t="s">
        <v>447</v>
      </c>
      <c r="J44" s="16"/>
    </row>
    <row r="45" customFormat="false" ht="34.5" hidden="false" customHeight="true" outlineLevel="0" collapsed="false">
      <c r="A45" s="16" t="s">
        <v>448</v>
      </c>
      <c r="B45" s="16" t="s">
        <v>10</v>
      </c>
      <c r="C45" s="16" t="s">
        <v>357</v>
      </c>
      <c r="D45" s="16" t="s">
        <v>358</v>
      </c>
      <c r="E45" s="16"/>
      <c r="F45" s="16"/>
      <c r="G45" s="16" t="s">
        <v>359</v>
      </c>
      <c r="H45" s="21" t="s">
        <v>360</v>
      </c>
      <c r="I45" s="16" t="s">
        <v>449</v>
      </c>
      <c r="J45" s="16"/>
    </row>
    <row r="46" customFormat="false" ht="34.5" hidden="false" customHeight="true" outlineLevel="0" collapsed="false">
      <c r="A46" s="16" t="s">
        <v>450</v>
      </c>
      <c r="B46" s="16" t="s">
        <v>10</v>
      </c>
      <c r="C46" s="16" t="s">
        <v>357</v>
      </c>
      <c r="D46" s="16" t="s">
        <v>358</v>
      </c>
      <c r="E46" s="16"/>
      <c r="F46" s="16"/>
      <c r="G46" s="16" t="s">
        <v>359</v>
      </c>
      <c r="H46" s="21" t="s">
        <v>360</v>
      </c>
      <c r="I46" s="16" t="s">
        <v>451</v>
      </c>
      <c r="J46" s="16"/>
    </row>
    <row r="47" customFormat="false" ht="34.5" hidden="false" customHeight="true" outlineLevel="0" collapsed="false">
      <c r="A47" s="16" t="s">
        <v>452</v>
      </c>
      <c r="B47" s="16" t="s">
        <v>10</v>
      </c>
      <c r="C47" s="16" t="s">
        <v>357</v>
      </c>
      <c r="D47" s="16" t="s">
        <v>358</v>
      </c>
      <c r="E47" s="16"/>
      <c r="F47" s="16"/>
      <c r="G47" s="16" t="s">
        <v>359</v>
      </c>
      <c r="H47" s="21" t="s">
        <v>360</v>
      </c>
      <c r="I47" s="16" t="s">
        <v>453</v>
      </c>
      <c r="J47" s="16"/>
    </row>
    <row r="48" customFormat="false" ht="34.5" hidden="false" customHeight="true" outlineLevel="0" collapsed="false">
      <c r="A48" s="16" t="s">
        <v>454</v>
      </c>
      <c r="B48" s="16" t="s">
        <v>10</v>
      </c>
      <c r="C48" s="16" t="s">
        <v>357</v>
      </c>
      <c r="D48" s="16" t="s">
        <v>358</v>
      </c>
      <c r="E48" s="16"/>
      <c r="F48" s="16"/>
      <c r="G48" s="16" t="s">
        <v>359</v>
      </c>
      <c r="H48" s="21" t="s">
        <v>360</v>
      </c>
      <c r="I48" s="16" t="s">
        <v>455</v>
      </c>
      <c r="J48" s="16"/>
    </row>
    <row r="49" customFormat="false" ht="34.5" hidden="false" customHeight="true" outlineLevel="0" collapsed="false">
      <c r="A49" s="16" t="s">
        <v>456</v>
      </c>
      <c r="B49" s="16" t="s">
        <v>10</v>
      </c>
      <c r="C49" s="16" t="s">
        <v>357</v>
      </c>
      <c r="D49" s="16" t="s">
        <v>358</v>
      </c>
      <c r="E49" s="16"/>
      <c r="F49" s="16"/>
      <c r="G49" s="16" t="s">
        <v>359</v>
      </c>
      <c r="H49" s="21" t="s">
        <v>360</v>
      </c>
      <c r="I49" s="16" t="s">
        <v>457</v>
      </c>
      <c r="J49" s="16"/>
    </row>
    <row r="50" customFormat="false" ht="34.5" hidden="false" customHeight="true" outlineLevel="0" collapsed="false">
      <c r="A50" s="16" t="s">
        <v>458</v>
      </c>
      <c r="B50" s="16" t="s">
        <v>10</v>
      </c>
      <c r="C50" s="16" t="s">
        <v>357</v>
      </c>
      <c r="D50" s="16" t="s">
        <v>358</v>
      </c>
      <c r="E50" s="16"/>
      <c r="F50" s="16"/>
      <c r="G50" s="16" t="s">
        <v>359</v>
      </c>
      <c r="H50" s="21" t="s">
        <v>360</v>
      </c>
      <c r="I50" s="16" t="s">
        <v>459</v>
      </c>
      <c r="J50" s="16"/>
    </row>
    <row r="51" customFormat="false" ht="34.5" hidden="false" customHeight="true" outlineLevel="0" collapsed="false">
      <c r="A51" s="16" t="s">
        <v>460</v>
      </c>
      <c r="B51" s="16" t="s">
        <v>10</v>
      </c>
      <c r="C51" s="16" t="s">
        <v>357</v>
      </c>
      <c r="D51" s="16" t="s">
        <v>358</v>
      </c>
      <c r="E51" s="16"/>
      <c r="F51" s="16" t="s">
        <v>130</v>
      </c>
      <c r="G51" s="16" t="s">
        <v>131</v>
      </c>
      <c r="H51" s="22" t="s">
        <v>363</v>
      </c>
      <c r="I51" s="16" t="s">
        <v>461</v>
      </c>
      <c r="J51" s="16"/>
    </row>
    <row r="52" customFormat="false" ht="34.5" hidden="false" customHeight="true" outlineLevel="0" collapsed="false">
      <c r="A52" s="16" t="s">
        <v>462</v>
      </c>
      <c r="B52" s="16" t="s">
        <v>11</v>
      </c>
      <c r="C52" s="16" t="s">
        <v>357</v>
      </c>
      <c r="D52" s="16" t="s">
        <v>358</v>
      </c>
      <c r="E52" s="16"/>
      <c r="F52" s="16"/>
      <c r="G52" s="16" t="s">
        <v>359</v>
      </c>
      <c r="H52" s="21" t="s">
        <v>360</v>
      </c>
      <c r="I52" s="16" t="s">
        <v>463</v>
      </c>
      <c r="J52" s="16"/>
    </row>
    <row r="53" customFormat="false" ht="34.5" hidden="false" customHeight="true" outlineLevel="0" collapsed="false">
      <c r="A53" s="16" t="s">
        <v>464</v>
      </c>
      <c r="B53" s="16" t="s">
        <v>11</v>
      </c>
      <c r="C53" s="16" t="s">
        <v>357</v>
      </c>
      <c r="D53" s="16" t="s">
        <v>358</v>
      </c>
      <c r="E53" s="16"/>
      <c r="F53" s="16" t="s">
        <v>150</v>
      </c>
      <c r="G53" s="16" t="s">
        <v>215</v>
      </c>
      <c r="H53" s="22" t="s">
        <v>363</v>
      </c>
      <c r="I53" s="16" t="s">
        <v>465</v>
      </c>
      <c r="J53" s="16"/>
    </row>
    <row r="54" customFormat="false" ht="34.5" hidden="false" customHeight="true" outlineLevel="0" collapsed="false">
      <c r="A54" s="16" t="s">
        <v>466</v>
      </c>
      <c r="B54" s="16" t="s">
        <v>11</v>
      </c>
      <c r="C54" s="16" t="s">
        <v>357</v>
      </c>
      <c r="D54" s="16" t="s">
        <v>358</v>
      </c>
      <c r="E54" s="16"/>
      <c r="F54" s="16"/>
      <c r="G54" s="16" t="s">
        <v>359</v>
      </c>
      <c r="H54" s="21" t="s">
        <v>360</v>
      </c>
      <c r="I54" s="16" t="s">
        <v>467</v>
      </c>
      <c r="J54" s="16"/>
    </row>
    <row r="55" customFormat="false" ht="34.5" hidden="false" customHeight="true" outlineLevel="0" collapsed="false">
      <c r="A55" s="16" t="s">
        <v>468</v>
      </c>
      <c r="B55" s="16" t="s">
        <v>11</v>
      </c>
      <c r="C55" s="16" t="s">
        <v>357</v>
      </c>
      <c r="D55" s="16" t="s">
        <v>358</v>
      </c>
      <c r="E55" s="16"/>
      <c r="F55" s="16"/>
      <c r="G55" s="16" t="s">
        <v>359</v>
      </c>
      <c r="H55" s="21" t="s">
        <v>360</v>
      </c>
      <c r="I55" s="16" t="s">
        <v>469</v>
      </c>
      <c r="J55" s="16"/>
    </row>
    <row r="56" customFormat="false" ht="34.5" hidden="false" customHeight="true" outlineLevel="0" collapsed="false">
      <c r="A56" s="16" t="s">
        <v>470</v>
      </c>
      <c r="B56" s="16" t="s">
        <v>11</v>
      </c>
      <c r="C56" s="16" t="s">
        <v>357</v>
      </c>
      <c r="D56" s="16" t="s">
        <v>358</v>
      </c>
      <c r="E56" s="16"/>
      <c r="F56" s="16"/>
      <c r="G56" s="16" t="s">
        <v>359</v>
      </c>
      <c r="H56" s="21" t="s">
        <v>360</v>
      </c>
      <c r="I56" s="16" t="s">
        <v>471</v>
      </c>
      <c r="J56" s="16"/>
    </row>
    <row r="57" customFormat="false" ht="34.5" hidden="false" customHeight="true" outlineLevel="0" collapsed="false">
      <c r="A57" s="16" t="s">
        <v>472</v>
      </c>
      <c r="B57" s="16" t="s">
        <v>11</v>
      </c>
      <c r="C57" s="16" t="s">
        <v>357</v>
      </c>
      <c r="D57" s="16" t="s">
        <v>358</v>
      </c>
      <c r="E57" s="16"/>
      <c r="F57" s="16"/>
      <c r="G57" s="16" t="s">
        <v>359</v>
      </c>
      <c r="H57" s="21" t="s">
        <v>360</v>
      </c>
      <c r="I57" s="16" t="s">
        <v>473</v>
      </c>
      <c r="J57" s="16"/>
    </row>
    <row r="58" customFormat="false" ht="34.5" hidden="false" customHeight="true" outlineLevel="0" collapsed="false">
      <c r="A58" s="16" t="s">
        <v>474</v>
      </c>
      <c r="B58" s="16" t="s">
        <v>11</v>
      </c>
      <c r="C58" s="16" t="s">
        <v>357</v>
      </c>
      <c r="D58" s="16" t="s">
        <v>358</v>
      </c>
      <c r="E58" s="16"/>
      <c r="F58" s="16"/>
      <c r="G58" s="16" t="s">
        <v>359</v>
      </c>
      <c r="H58" s="21" t="s">
        <v>360</v>
      </c>
      <c r="I58" s="16" t="s">
        <v>475</v>
      </c>
      <c r="J58" s="16"/>
    </row>
    <row r="59" customFormat="false" ht="34.5" hidden="false" customHeight="true" outlineLevel="0" collapsed="false">
      <c r="A59" s="16" t="s">
        <v>476</v>
      </c>
      <c r="B59" s="16" t="s">
        <v>11</v>
      </c>
      <c r="C59" s="16" t="s">
        <v>357</v>
      </c>
      <c r="D59" s="16" t="s">
        <v>358</v>
      </c>
      <c r="E59" s="16"/>
      <c r="F59" s="16" t="s">
        <v>135</v>
      </c>
      <c r="G59" s="16" t="s">
        <v>203</v>
      </c>
      <c r="H59" s="22" t="s">
        <v>363</v>
      </c>
      <c r="I59" s="16" t="s">
        <v>477</v>
      </c>
      <c r="J59" s="16"/>
    </row>
    <row r="60" customFormat="false" ht="34.5" hidden="false" customHeight="true" outlineLevel="0" collapsed="false">
      <c r="A60" s="16" t="s">
        <v>478</v>
      </c>
      <c r="B60" s="16" t="s">
        <v>11</v>
      </c>
      <c r="C60" s="16" t="s">
        <v>357</v>
      </c>
      <c r="D60" s="16" t="s">
        <v>358</v>
      </c>
      <c r="E60" s="16"/>
      <c r="F60" s="16" t="s">
        <v>84</v>
      </c>
      <c r="G60" s="16" t="s">
        <v>163</v>
      </c>
      <c r="H60" s="22" t="s">
        <v>363</v>
      </c>
      <c r="I60" s="16" t="s">
        <v>479</v>
      </c>
      <c r="J60" s="16"/>
    </row>
    <row r="61" customFormat="false" ht="34.5" hidden="false" customHeight="true" outlineLevel="0" collapsed="false">
      <c r="A61" s="16" t="s">
        <v>480</v>
      </c>
      <c r="B61" s="16" t="s">
        <v>11</v>
      </c>
      <c r="C61" s="16" t="s">
        <v>357</v>
      </c>
      <c r="D61" s="16" t="s">
        <v>358</v>
      </c>
      <c r="E61" s="16"/>
      <c r="F61" s="16"/>
      <c r="G61" s="16" t="s">
        <v>359</v>
      </c>
      <c r="H61" s="21" t="s">
        <v>360</v>
      </c>
      <c r="I61" s="16" t="s">
        <v>481</v>
      </c>
      <c r="J61" s="16"/>
    </row>
    <row r="62" customFormat="false" ht="34.5" hidden="false" customHeight="true" outlineLevel="0" collapsed="false">
      <c r="A62" s="16" t="s">
        <v>482</v>
      </c>
      <c r="B62" s="16" t="s">
        <v>11</v>
      </c>
      <c r="C62" s="16" t="s">
        <v>357</v>
      </c>
      <c r="D62" s="16" t="s">
        <v>358</v>
      </c>
      <c r="E62" s="16"/>
      <c r="F62" s="16"/>
      <c r="G62" s="16" t="s">
        <v>359</v>
      </c>
      <c r="H62" s="21" t="s">
        <v>360</v>
      </c>
      <c r="I62" s="16" t="s">
        <v>483</v>
      </c>
      <c r="J62" s="16"/>
    </row>
    <row r="63" customFormat="false" ht="34.5" hidden="false" customHeight="true" outlineLevel="0" collapsed="false">
      <c r="A63" s="16" t="s">
        <v>484</v>
      </c>
      <c r="B63" s="16" t="s">
        <v>11</v>
      </c>
      <c r="C63" s="16" t="s">
        <v>357</v>
      </c>
      <c r="D63" s="16" t="s">
        <v>358</v>
      </c>
      <c r="E63" s="16"/>
      <c r="F63" s="16"/>
      <c r="G63" s="16" t="s">
        <v>359</v>
      </c>
      <c r="H63" s="21" t="s">
        <v>360</v>
      </c>
      <c r="I63" s="16" t="s">
        <v>485</v>
      </c>
      <c r="J63" s="16"/>
    </row>
    <row r="64" customFormat="false" ht="34.5" hidden="false" customHeight="true" outlineLevel="0" collapsed="false">
      <c r="A64" s="16" t="s">
        <v>486</v>
      </c>
      <c r="B64" s="16" t="s">
        <v>11</v>
      </c>
      <c r="C64" s="16" t="s">
        <v>357</v>
      </c>
      <c r="D64" s="16" t="s">
        <v>358</v>
      </c>
      <c r="E64" s="16"/>
      <c r="F64" s="16"/>
      <c r="G64" s="16" t="s">
        <v>359</v>
      </c>
      <c r="H64" s="21" t="s">
        <v>360</v>
      </c>
      <c r="I64" s="16" t="s">
        <v>487</v>
      </c>
      <c r="J64" s="16"/>
    </row>
    <row r="65" customFormat="false" ht="34.5" hidden="false" customHeight="true" outlineLevel="0" collapsed="false">
      <c r="A65" s="16" t="s">
        <v>488</v>
      </c>
      <c r="B65" s="16" t="s">
        <v>11</v>
      </c>
      <c r="C65" s="16" t="s">
        <v>357</v>
      </c>
      <c r="D65" s="16" t="s">
        <v>358</v>
      </c>
      <c r="E65" s="16"/>
      <c r="F65" s="16"/>
      <c r="G65" s="16" t="s">
        <v>359</v>
      </c>
      <c r="H65" s="21" t="s">
        <v>360</v>
      </c>
      <c r="I65" s="16" t="s">
        <v>489</v>
      </c>
      <c r="J65" s="16"/>
    </row>
    <row r="66" customFormat="false" ht="34.5" hidden="false" customHeight="true" outlineLevel="0" collapsed="false">
      <c r="A66" s="16" t="s">
        <v>490</v>
      </c>
      <c r="B66" s="16" t="s">
        <v>11</v>
      </c>
      <c r="C66" s="16" t="s">
        <v>357</v>
      </c>
      <c r="D66" s="16" t="s">
        <v>358</v>
      </c>
      <c r="E66" s="16"/>
      <c r="F66" s="16"/>
      <c r="G66" s="16" t="s">
        <v>359</v>
      </c>
      <c r="H66" s="21" t="s">
        <v>360</v>
      </c>
      <c r="I66" s="16" t="s">
        <v>491</v>
      </c>
      <c r="J66" s="16"/>
    </row>
    <row r="67" customFormat="false" ht="34.5" hidden="false" customHeight="true" outlineLevel="0" collapsed="false">
      <c r="A67" s="16" t="s">
        <v>492</v>
      </c>
      <c r="B67" s="16" t="s">
        <v>11</v>
      </c>
      <c r="C67" s="16" t="s">
        <v>357</v>
      </c>
      <c r="D67" s="16" t="s">
        <v>358</v>
      </c>
      <c r="E67" s="16"/>
      <c r="F67" s="16"/>
      <c r="G67" s="16" t="s">
        <v>359</v>
      </c>
      <c r="H67" s="21" t="s">
        <v>360</v>
      </c>
      <c r="I67" s="16" t="s">
        <v>493</v>
      </c>
      <c r="J67" s="16"/>
    </row>
    <row r="68" customFormat="false" ht="34.5" hidden="false" customHeight="true" outlineLevel="0" collapsed="false">
      <c r="A68" s="16" t="s">
        <v>494</v>
      </c>
      <c r="B68" s="16" t="s">
        <v>11</v>
      </c>
      <c r="C68" s="16" t="s">
        <v>357</v>
      </c>
      <c r="D68" s="16" t="s">
        <v>358</v>
      </c>
      <c r="E68" s="16"/>
      <c r="F68" s="16"/>
      <c r="G68" s="16" t="s">
        <v>359</v>
      </c>
      <c r="H68" s="21" t="s">
        <v>360</v>
      </c>
      <c r="I68" s="16" t="s">
        <v>495</v>
      </c>
      <c r="J68" s="16"/>
    </row>
    <row r="69" customFormat="false" ht="34.5" hidden="false" customHeight="true" outlineLevel="0" collapsed="false">
      <c r="A69" s="16" t="s">
        <v>496</v>
      </c>
      <c r="B69" s="16" t="s">
        <v>11</v>
      </c>
      <c r="C69" s="16" t="s">
        <v>357</v>
      </c>
      <c r="D69" s="16" t="s">
        <v>358</v>
      </c>
      <c r="E69" s="16"/>
      <c r="F69" s="16" t="s">
        <v>130</v>
      </c>
      <c r="G69" s="16" t="s">
        <v>199</v>
      </c>
      <c r="H69" s="23" t="s">
        <v>400</v>
      </c>
      <c r="I69" s="16" t="s">
        <v>497</v>
      </c>
      <c r="J69" s="16"/>
    </row>
    <row r="70" customFormat="false" ht="34.5" hidden="false" customHeight="true" outlineLevel="0" collapsed="false">
      <c r="A70" s="16" t="s">
        <v>498</v>
      </c>
      <c r="B70" s="16" t="s">
        <v>11</v>
      </c>
      <c r="C70" s="16" t="s">
        <v>357</v>
      </c>
      <c r="D70" s="16" t="s">
        <v>358</v>
      </c>
      <c r="E70" s="16"/>
      <c r="F70" s="16" t="s">
        <v>130</v>
      </c>
      <c r="G70" s="16" t="s">
        <v>199</v>
      </c>
      <c r="H70" s="23" t="s">
        <v>400</v>
      </c>
      <c r="I70" s="16" t="s">
        <v>499</v>
      </c>
      <c r="J70" s="16"/>
    </row>
    <row r="71" customFormat="false" ht="34.5" hidden="false" customHeight="true" outlineLevel="0" collapsed="false">
      <c r="A71" s="16" t="s">
        <v>500</v>
      </c>
      <c r="B71" s="16" t="s">
        <v>11</v>
      </c>
      <c r="C71" s="16" t="s">
        <v>357</v>
      </c>
      <c r="D71" s="16" t="s">
        <v>358</v>
      </c>
      <c r="E71" s="16"/>
      <c r="F71" s="16"/>
      <c r="G71" s="16" t="s">
        <v>359</v>
      </c>
      <c r="H71" s="21" t="s">
        <v>360</v>
      </c>
      <c r="I71" s="16" t="s">
        <v>501</v>
      </c>
      <c r="J71" s="16"/>
    </row>
    <row r="72" customFormat="false" ht="34.5" hidden="false" customHeight="true" outlineLevel="0" collapsed="false">
      <c r="A72" s="16" t="s">
        <v>502</v>
      </c>
      <c r="B72" s="16" t="s">
        <v>11</v>
      </c>
      <c r="C72" s="16" t="s">
        <v>357</v>
      </c>
      <c r="D72" s="16" t="s">
        <v>358</v>
      </c>
      <c r="E72" s="16"/>
      <c r="F72" s="16"/>
      <c r="G72" s="16" t="s">
        <v>359</v>
      </c>
      <c r="H72" s="21" t="s">
        <v>360</v>
      </c>
      <c r="I72" s="16" t="s">
        <v>503</v>
      </c>
      <c r="J72" s="16"/>
    </row>
    <row r="73" customFormat="false" ht="34.5" hidden="false" customHeight="true" outlineLevel="0" collapsed="false">
      <c r="A73" s="16" t="s">
        <v>504</v>
      </c>
      <c r="B73" s="16" t="s">
        <v>11</v>
      </c>
      <c r="C73" s="16" t="s">
        <v>357</v>
      </c>
      <c r="D73" s="16" t="s">
        <v>358</v>
      </c>
      <c r="E73" s="16"/>
      <c r="F73" s="16" t="s">
        <v>110</v>
      </c>
      <c r="G73" s="16" t="s">
        <v>183</v>
      </c>
      <c r="H73" s="22" t="s">
        <v>363</v>
      </c>
      <c r="I73" s="16" t="s">
        <v>505</v>
      </c>
      <c r="J73" s="16"/>
    </row>
    <row r="74" customFormat="false" ht="34.5" hidden="false" customHeight="true" outlineLevel="0" collapsed="false">
      <c r="A74" s="16" t="s">
        <v>506</v>
      </c>
      <c r="B74" s="16" t="s">
        <v>11</v>
      </c>
      <c r="C74" s="16" t="s">
        <v>357</v>
      </c>
      <c r="D74" s="16" t="s">
        <v>358</v>
      </c>
      <c r="E74" s="16"/>
      <c r="F74" s="16"/>
      <c r="G74" s="16" t="s">
        <v>359</v>
      </c>
      <c r="H74" s="21" t="s">
        <v>360</v>
      </c>
      <c r="I74" s="16" t="s">
        <v>507</v>
      </c>
      <c r="J74" s="16"/>
    </row>
    <row r="75" customFormat="false" ht="34.5" hidden="false" customHeight="true" outlineLevel="0" collapsed="false">
      <c r="A75" s="16" t="s">
        <v>508</v>
      </c>
      <c r="B75" s="16" t="s">
        <v>11</v>
      </c>
      <c r="C75" s="16" t="s">
        <v>357</v>
      </c>
      <c r="D75" s="16" t="s">
        <v>358</v>
      </c>
      <c r="E75" s="16"/>
      <c r="F75" s="16" t="s">
        <v>115</v>
      </c>
      <c r="G75" s="16" t="s">
        <v>187</v>
      </c>
      <c r="H75" s="23" t="s">
        <v>400</v>
      </c>
      <c r="I75" s="16" t="s">
        <v>509</v>
      </c>
      <c r="J75" s="16"/>
    </row>
    <row r="76" customFormat="false" ht="34.5" hidden="false" customHeight="true" outlineLevel="0" collapsed="false">
      <c r="A76" s="16" t="s">
        <v>510</v>
      </c>
      <c r="B76" s="16" t="s">
        <v>11</v>
      </c>
      <c r="C76" s="16" t="s">
        <v>357</v>
      </c>
      <c r="D76" s="16" t="s">
        <v>358</v>
      </c>
      <c r="E76" s="16"/>
      <c r="F76" s="16"/>
      <c r="G76" s="16" t="s">
        <v>359</v>
      </c>
      <c r="H76" s="21" t="s">
        <v>360</v>
      </c>
      <c r="I76" s="16" t="s">
        <v>511</v>
      </c>
      <c r="J76" s="16"/>
    </row>
    <row r="77" customFormat="false" ht="34.5" hidden="false" customHeight="true" outlineLevel="0" collapsed="false">
      <c r="A77" s="16" t="s">
        <v>512</v>
      </c>
      <c r="B77" s="16" t="s">
        <v>11</v>
      </c>
      <c r="C77" s="16" t="s">
        <v>357</v>
      </c>
      <c r="D77" s="16" t="s">
        <v>358</v>
      </c>
      <c r="E77" s="16"/>
      <c r="F77" s="16" t="s">
        <v>130</v>
      </c>
      <c r="G77" s="16" t="s">
        <v>199</v>
      </c>
      <c r="H77" s="23" t="s">
        <v>400</v>
      </c>
      <c r="I77" s="16" t="s">
        <v>513</v>
      </c>
      <c r="J77" s="16"/>
    </row>
    <row r="78" customFormat="false" ht="34.5" hidden="false" customHeight="true" outlineLevel="0" collapsed="false">
      <c r="A78" s="16" t="s">
        <v>514</v>
      </c>
      <c r="B78" s="16" t="s">
        <v>11</v>
      </c>
      <c r="C78" s="16" t="s">
        <v>357</v>
      </c>
      <c r="D78" s="16" t="s">
        <v>358</v>
      </c>
      <c r="E78" s="16"/>
      <c r="F78" s="16" t="s">
        <v>130</v>
      </c>
      <c r="G78" s="16" t="s">
        <v>199</v>
      </c>
      <c r="H78" s="23" t="s">
        <v>400</v>
      </c>
      <c r="I78" s="16" t="s">
        <v>515</v>
      </c>
      <c r="J78" s="16"/>
    </row>
    <row r="79" customFormat="false" ht="34.5" hidden="false" customHeight="true" outlineLevel="0" collapsed="false">
      <c r="A79" s="16" t="s">
        <v>516</v>
      </c>
      <c r="B79" s="16" t="s">
        <v>11</v>
      </c>
      <c r="C79" s="16" t="s">
        <v>357</v>
      </c>
      <c r="D79" s="16" t="s">
        <v>358</v>
      </c>
      <c r="E79" s="16"/>
      <c r="F79" s="16"/>
      <c r="G79" s="16" t="s">
        <v>359</v>
      </c>
      <c r="H79" s="21" t="s">
        <v>360</v>
      </c>
      <c r="I79" s="16" t="s">
        <v>517</v>
      </c>
      <c r="J79" s="16"/>
    </row>
    <row r="80" customFormat="false" ht="34.5" hidden="false" customHeight="true" outlineLevel="0" collapsed="false">
      <c r="A80" s="16" t="s">
        <v>518</v>
      </c>
      <c r="B80" s="16" t="s">
        <v>11</v>
      </c>
      <c r="C80" s="16" t="s">
        <v>357</v>
      </c>
      <c r="D80" s="16" t="s">
        <v>358</v>
      </c>
      <c r="E80" s="16"/>
      <c r="F80" s="16"/>
      <c r="G80" s="16" t="s">
        <v>359</v>
      </c>
      <c r="H80" s="21" t="s">
        <v>360</v>
      </c>
      <c r="I80" s="16" t="s">
        <v>519</v>
      </c>
      <c r="J80" s="16"/>
    </row>
    <row r="81" customFormat="false" ht="34.5" hidden="false" customHeight="true" outlineLevel="0" collapsed="false">
      <c r="A81" s="16" t="s">
        <v>520</v>
      </c>
      <c r="B81" s="16" t="s">
        <v>11</v>
      </c>
      <c r="C81" s="16" t="s">
        <v>357</v>
      </c>
      <c r="D81" s="16" t="s">
        <v>358</v>
      </c>
      <c r="E81" s="16"/>
      <c r="F81" s="16"/>
      <c r="G81" s="16" t="s">
        <v>359</v>
      </c>
      <c r="H81" s="21" t="s">
        <v>360</v>
      </c>
      <c r="I81" s="16" t="s">
        <v>521</v>
      </c>
      <c r="J81" s="16"/>
    </row>
    <row r="82" customFormat="false" ht="34.5" hidden="false" customHeight="true" outlineLevel="0" collapsed="false">
      <c r="A82" s="16" t="s">
        <v>522</v>
      </c>
      <c r="B82" s="16" t="s">
        <v>11</v>
      </c>
      <c r="C82" s="16" t="s">
        <v>357</v>
      </c>
      <c r="D82" s="16" t="s">
        <v>358</v>
      </c>
      <c r="E82" s="16"/>
      <c r="F82" s="16"/>
      <c r="G82" s="16" t="s">
        <v>359</v>
      </c>
      <c r="H82" s="21" t="s">
        <v>360</v>
      </c>
      <c r="I82" s="16" t="s">
        <v>523</v>
      </c>
      <c r="J82" s="16"/>
    </row>
    <row r="83" customFormat="false" ht="34.5" hidden="false" customHeight="true" outlineLevel="0" collapsed="false">
      <c r="A83" s="16" t="s">
        <v>524</v>
      </c>
      <c r="B83" s="16" t="s">
        <v>11</v>
      </c>
      <c r="C83" s="16" t="s">
        <v>357</v>
      </c>
      <c r="D83" s="16" t="s">
        <v>358</v>
      </c>
      <c r="E83" s="16"/>
      <c r="F83" s="16"/>
      <c r="G83" s="16" t="s">
        <v>359</v>
      </c>
      <c r="H83" s="21" t="s">
        <v>360</v>
      </c>
      <c r="I83" s="16" t="s">
        <v>525</v>
      </c>
      <c r="J83" s="16"/>
    </row>
    <row r="84" customFormat="false" ht="34.5" hidden="false" customHeight="true" outlineLevel="0" collapsed="false">
      <c r="A84" s="16" t="s">
        <v>526</v>
      </c>
      <c r="B84" s="16" t="s">
        <v>11</v>
      </c>
      <c r="C84" s="16" t="s">
        <v>357</v>
      </c>
      <c r="D84" s="16" t="s">
        <v>358</v>
      </c>
      <c r="E84" s="16"/>
      <c r="F84" s="16"/>
      <c r="G84" s="16" t="s">
        <v>359</v>
      </c>
      <c r="H84" s="21" t="s">
        <v>360</v>
      </c>
      <c r="I84" s="16" t="s">
        <v>527</v>
      </c>
      <c r="J84" s="16"/>
    </row>
    <row r="85" customFormat="false" ht="34.5" hidden="false" customHeight="true" outlineLevel="0" collapsed="false">
      <c r="A85" s="16" t="s">
        <v>528</v>
      </c>
      <c r="B85" s="16" t="s">
        <v>11</v>
      </c>
      <c r="C85" s="16" t="s">
        <v>357</v>
      </c>
      <c r="D85" s="16" t="s">
        <v>358</v>
      </c>
      <c r="E85" s="16"/>
      <c r="F85" s="16"/>
      <c r="G85" s="16" t="s">
        <v>359</v>
      </c>
      <c r="H85" s="21" t="s">
        <v>360</v>
      </c>
      <c r="I85" s="16" t="s">
        <v>529</v>
      </c>
      <c r="J85" s="16"/>
    </row>
    <row r="86" customFormat="false" ht="34.5" hidden="false" customHeight="true" outlineLevel="0" collapsed="false">
      <c r="A86" s="16" t="s">
        <v>530</v>
      </c>
      <c r="B86" s="16" t="s">
        <v>11</v>
      </c>
      <c r="C86" s="16" t="s">
        <v>357</v>
      </c>
      <c r="D86" s="16" t="s">
        <v>358</v>
      </c>
      <c r="E86" s="16"/>
      <c r="F86" s="16" t="s">
        <v>140</v>
      </c>
      <c r="G86" s="16" t="s">
        <v>207</v>
      </c>
      <c r="H86" s="22" t="s">
        <v>363</v>
      </c>
      <c r="I86" s="16" t="s">
        <v>531</v>
      </c>
      <c r="J86" s="16"/>
    </row>
    <row r="87" customFormat="false" ht="34.5" hidden="false" customHeight="true" outlineLevel="0" collapsed="false">
      <c r="A87" s="16" t="s">
        <v>532</v>
      </c>
      <c r="B87" s="16" t="s">
        <v>11</v>
      </c>
      <c r="C87" s="16" t="s">
        <v>357</v>
      </c>
      <c r="D87" s="16" t="s">
        <v>358</v>
      </c>
      <c r="E87" s="16"/>
      <c r="F87" s="16" t="s">
        <v>115</v>
      </c>
      <c r="G87" s="16" t="s">
        <v>187</v>
      </c>
      <c r="H87" s="22" t="s">
        <v>363</v>
      </c>
      <c r="I87" s="16" t="s">
        <v>533</v>
      </c>
      <c r="J87" s="16"/>
    </row>
    <row r="88" customFormat="false" ht="34.5" hidden="false" customHeight="true" outlineLevel="0" collapsed="false">
      <c r="A88" s="16" t="s">
        <v>534</v>
      </c>
      <c r="B88" s="16" t="s">
        <v>11</v>
      </c>
      <c r="C88" s="16" t="s">
        <v>357</v>
      </c>
      <c r="D88" s="16" t="s">
        <v>358</v>
      </c>
      <c r="E88" s="16"/>
      <c r="F88" s="16"/>
      <c r="G88" s="16" t="s">
        <v>359</v>
      </c>
      <c r="H88" s="21" t="s">
        <v>360</v>
      </c>
      <c r="I88" s="16" t="s">
        <v>535</v>
      </c>
      <c r="J88" s="16"/>
    </row>
    <row r="89" customFormat="false" ht="34.5" hidden="false" customHeight="true" outlineLevel="0" collapsed="false">
      <c r="A89" s="16" t="s">
        <v>536</v>
      </c>
      <c r="B89" s="16" t="s">
        <v>11</v>
      </c>
      <c r="C89" s="16" t="s">
        <v>357</v>
      </c>
      <c r="D89" s="16" t="s">
        <v>358</v>
      </c>
      <c r="E89" s="16"/>
      <c r="F89" s="16"/>
      <c r="G89" s="16" t="s">
        <v>359</v>
      </c>
      <c r="H89" s="21" t="s">
        <v>360</v>
      </c>
      <c r="I89" s="16" t="s">
        <v>537</v>
      </c>
      <c r="J89" s="16"/>
    </row>
    <row r="90" customFormat="false" ht="34.5" hidden="false" customHeight="true" outlineLevel="0" collapsed="false">
      <c r="A90" s="16" t="s">
        <v>538</v>
      </c>
      <c r="B90" s="16" t="s">
        <v>11</v>
      </c>
      <c r="C90" s="16" t="s">
        <v>357</v>
      </c>
      <c r="D90" s="16" t="s">
        <v>358</v>
      </c>
      <c r="E90" s="16"/>
      <c r="F90" s="16" t="s">
        <v>135</v>
      </c>
      <c r="G90" s="16" t="s">
        <v>203</v>
      </c>
      <c r="H90" s="22" t="s">
        <v>363</v>
      </c>
      <c r="I90" s="16" t="s">
        <v>539</v>
      </c>
      <c r="J90" s="16"/>
    </row>
    <row r="91" customFormat="false" ht="34.5" hidden="false" customHeight="true" outlineLevel="0" collapsed="false">
      <c r="A91" s="16" t="s">
        <v>540</v>
      </c>
      <c r="B91" s="16" t="s">
        <v>11</v>
      </c>
      <c r="C91" s="16" t="s">
        <v>357</v>
      </c>
      <c r="D91" s="16" t="s">
        <v>358</v>
      </c>
      <c r="E91" s="16"/>
      <c r="F91" s="16" t="s">
        <v>110</v>
      </c>
      <c r="G91" s="16" t="s">
        <v>183</v>
      </c>
      <c r="H91" s="22" t="s">
        <v>363</v>
      </c>
      <c r="I91" s="16" t="s">
        <v>541</v>
      </c>
      <c r="J91" s="16"/>
    </row>
    <row r="92" customFormat="false" ht="34.5" hidden="false" customHeight="true" outlineLevel="0" collapsed="false">
      <c r="A92" s="16" t="s">
        <v>542</v>
      </c>
      <c r="B92" s="16" t="s">
        <v>11</v>
      </c>
      <c r="C92" s="16" t="s">
        <v>357</v>
      </c>
      <c r="D92" s="16" t="s">
        <v>358</v>
      </c>
      <c r="E92" s="16"/>
      <c r="F92" s="16"/>
      <c r="G92" s="16" t="s">
        <v>359</v>
      </c>
      <c r="H92" s="21" t="s">
        <v>360</v>
      </c>
      <c r="I92" s="16" t="s">
        <v>543</v>
      </c>
      <c r="J92" s="16"/>
    </row>
    <row r="93" customFormat="false" ht="34.5" hidden="false" customHeight="true" outlineLevel="0" collapsed="false">
      <c r="A93" s="16" t="s">
        <v>544</v>
      </c>
      <c r="B93" s="16" t="s">
        <v>11</v>
      </c>
      <c r="C93" s="16" t="s">
        <v>357</v>
      </c>
      <c r="D93" s="16" t="s">
        <v>358</v>
      </c>
      <c r="E93" s="16"/>
      <c r="F93" s="16"/>
      <c r="G93" s="16" t="s">
        <v>359</v>
      </c>
      <c r="H93" s="21" t="s">
        <v>360</v>
      </c>
      <c r="I93" s="16" t="s">
        <v>545</v>
      </c>
      <c r="J93" s="16"/>
    </row>
    <row r="94" customFormat="false" ht="34.5" hidden="false" customHeight="true" outlineLevel="0" collapsed="false">
      <c r="A94" s="16" t="s">
        <v>546</v>
      </c>
      <c r="B94" s="16" t="s">
        <v>11</v>
      </c>
      <c r="C94" s="16" t="s">
        <v>357</v>
      </c>
      <c r="D94" s="16" t="s">
        <v>358</v>
      </c>
      <c r="E94" s="16"/>
      <c r="F94" s="16" t="s">
        <v>84</v>
      </c>
      <c r="G94" s="16" t="s">
        <v>163</v>
      </c>
      <c r="H94" s="22" t="s">
        <v>363</v>
      </c>
      <c r="I94" s="16" t="s">
        <v>547</v>
      </c>
      <c r="J94" s="16"/>
    </row>
    <row r="95" customFormat="false" ht="34.5" hidden="false" customHeight="true" outlineLevel="0" collapsed="false">
      <c r="A95" s="16" t="s">
        <v>548</v>
      </c>
      <c r="B95" s="16" t="s">
        <v>11</v>
      </c>
      <c r="C95" s="16" t="s">
        <v>357</v>
      </c>
      <c r="D95" s="16" t="s">
        <v>358</v>
      </c>
      <c r="E95" s="16"/>
      <c r="F95" s="16"/>
      <c r="G95" s="16" t="s">
        <v>359</v>
      </c>
      <c r="H95" s="21" t="s">
        <v>360</v>
      </c>
      <c r="I95" s="16" t="s">
        <v>549</v>
      </c>
      <c r="J95" s="16"/>
    </row>
    <row r="96" customFormat="false" ht="34.5" hidden="false" customHeight="true" outlineLevel="0" collapsed="false">
      <c r="A96" s="16" t="s">
        <v>550</v>
      </c>
      <c r="B96" s="16" t="s">
        <v>11</v>
      </c>
      <c r="C96" s="16" t="s">
        <v>357</v>
      </c>
      <c r="D96" s="16" t="s">
        <v>358</v>
      </c>
      <c r="E96" s="16"/>
      <c r="F96" s="16"/>
      <c r="G96" s="16" t="s">
        <v>359</v>
      </c>
      <c r="H96" s="21" t="s">
        <v>360</v>
      </c>
      <c r="I96" s="16" t="s">
        <v>551</v>
      </c>
      <c r="J96" s="16"/>
    </row>
    <row r="97" customFormat="false" ht="34.5" hidden="false" customHeight="true" outlineLevel="0" collapsed="false">
      <c r="A97" s="16" t="s">
        <v>552</v>
      </c>
      <c r="B97" s="16" t="s">
        <v>11</v>
      </c>
      <c r="C97" s="16" t="s">
        <v>357</v>
      </c>
      <c r="D97" s="16" t="s">
        <v>358</v>
      </c>
      <c r="E97" s="16"/>
      <c r="F97" s="16" t="s">
        <v>105</v>
      </c>
      <c r="G97" s="16" t="s">
        <v>179</v>
      </c>
      <c r="H97" s="24" t="s">
        <v>553</v>
      </c>
      <c r="I97" s="16" t="s">
        <v>554</v>
      </c>
      <c r="J97" s="16"/>
    </row>
    <row r="98" customFormat="false" ht="34.5" hidden="false" customHeight="true" outlineLevel="0" collapsed="false">
      <c r="A98" s="16" t="s">
        <v>555</v>
      </c>
      <c r="B98" s="16" t="s">
        <v>11</v>
      </c>
      <c r="C98" s="16" t="s">
        <v>357</v>
      </c>
      <c r="D98" s="16" t="s">
        <v>358</v>
      </c>
      <c r="E98" s="16"/>
      <c r="F98" s="16" t="s">
        <v>105</v>
      </c>
      <c r="G98" s="16" t="s">
        <v>179</v>
      </c>
      <c r="H98" s="24" t="s">
        <v>553</v>
      </c>
      <c r="I98" s="16" t="s">
        <v>556</v>
      </c>
      <c r="J98" s="16"/>
    </row>
    <row r="99" customFormat="false" ht="34.5" hidden="false" customHeight="true" outlineLevel="0" collapsed="false">
      <c r="A99" s="16" t="s">
        <v>557</v>
      </c>
      <c r="B99" s="16" t="s">
        <v>11</v>
      </c>
      <c r="C99" s="16" t="s">
        <v>357</v>
      </c>
      <c r="D99" s="16" t="s">
        <v>358</v>
      </c>
      <c r="E99" s="16"/>
      <c r="F99" s="16"/>
      <c r="G99" s="16" t="s">
        <v>359</v>
      </c>
      <c r="H99" s="21" t="s">
        <v>360</v>
      </c>
      <c r="I99" s="16" t="s">
        <v>558</v>
      </c>
      <c r="J99" s="16"/>
    </row>
    <row r="100" customFormat="false" ht="34.5" hidden="false" customHeight="true" outlineLevel="0" collapsed="false">
      <c r="A100" s="16" t="s">
        <v>559</v>
      </c>
      <c r="B100" s="16" t="s">
        <v>11</v>
      </c>
      <c r="C100" s="16" t="s">
        <v>357</v>
      </c>
      <c r="D100" s="16" t="s">
        <v>358</v>
      </c>
      <c r="E100" s="16"/>
      <c r="F100" s="16"/>
      <c r="G100" s="16" t="s">
        <v>359</v>
      </c>
      <c r="H100" s="21" t="s">
        <v>360</v>
      </c>
      <c r="I100" s="16" t="s">
        <v>560</v>
      </c>
      <c r="J100" s="16"/>
    </row>
    <row r="101" customFormat="false" ht="34.5" hidden="false" customHeight="true" outlineLevel="0" collapsed="false">
      <c r="A101" s="16" t="s">
        <v>561</v>
      </c>
      <c r="B101" s="16" t="s">
        <v>11</v>
      </c>
      <c r="C101" s="16" t="s">
        <v>357</v>
      </c>
      <c r="D101" s="16" t="s">
        <v>358</v>
      </c>
      <c r="E101" s="16"/>
      <c r="F101" s="16"/>
      <c r="G101" s="16" t="s">
        <v>359</v>
      </c>
      <c r="H101" s="21" t="s">
        <v>360</v>
      </c>
      <c r="I101" s="16" t="s">
        <v>562</v>
      </c>
      <c r="J101" s="16"/>
    </row>
    <row r="102" customFormat="false" ht="34.5" hidden="false" customHeight="true" outlineLevel="0" collapsed="false">
      <c r="A102" s="16" t="s">
        <v>563</v>
      </c>
      <c r="B102" s="16" t="s">
        <v>564</v>
      </c>
      <c r="C102" s="16" t="s">
        <v>357</v>
      </c>
      <c r="D102" s="16" t="s">
        <v>358</v>
      </c>
      <c r="E102" s="16"/>
      <c r="F102" s="16"/>
      <c r="G102" s="16" t="s">
        <v>359</v>
      </c>
      <c r="H102" s="21" t="s">
        <v>360</v>
      </c>
      <c r="I102" s="16" t="s">
        <v>565</v>
      </c>
      <c r="J102" s="16"/>
    </row>
    <row r="103" customFormat="false" ht="34.5" hidden="false" customHeight="true" outlineLevel="0" collapsed="false">
      <c r="A103" s="16" t="s">
        <v>566</v>
      </c>
      <c r="B103" s="16" t="s">
        <v>564</v>
      </c>
      <c r="C103" s="16" t="s">
        <v>357</v>
      </c>
      <c r="D103" s="16" t="s">
        <v>358</v>
      </c>
      <c r="E103" s="16"/>
      <c r="F103" s="16"/>
      <c r="G103" s="16" t="s">
        <v>359</v>
      </c>
      <c r="H103" s="21" t="s">
        <v>360</v>
      </c>
      <c r="I103" s="16" t="s">
        <v>567</v>
      </c>
      <c r="J103" s="16"/>
    </row>
    <row r="104" customFormat="false" ht="34.5" hidden="false" customHeight="true" outlineLevel="0" collapsed="false">
      <c r="A104" s="16" t="s">
        <v>568</v>
      </c>
      <c r="B104" s="16" t="s">
        <v>564</v>
      </c>
      <c r="C104" s="16" t="s">
        <v>357</v>
      </c>
      <c r="D104" s="16" t="s">
        <v>358</v>
      </c>
      <c r="E104" s="16"/>
      <c r="F104" s="16"/>
      <c r="G104" s="16" t="s">
        <v>359</v>
      </c>
      <c r="H104" s="21" t="s">
        <v>360</v>
      </c>
      <c r="I104" s="16" t="s">
        <v>569</v>
      </c>
      <c r="J104" s="16"/>
    </row>
    <row r="105" customFormat="false" ht="34.5" hidden="false" customHeight="true" outlineLevel="0" collapsed="false">
      <c r="A105" s="16" t="s">
        <v>570</v>
      </c>
      <c r="B105" s="16" t="s">
        <v>564</v>
      </c>
      <c r="C105" s="16" t="s">
        <v>357</v>
      </c>
      <c r="D105" s="16" t="s">
        <v>358</v>
      </c>
      <c r="E105" s="16"/>
      <c r="F105" s="16"/>
      <c r="G105" s="16" t="s">
        <v>359</v>
      </c>
      <c r="H105" s="21" t="s">
        <v>360</v>
      </c>
      <c r="I105" s="16" t="s">
        <v>571</v>
      </c>
      <c r="J105" s="16"/>
    </row>
    <row r="106" customFormat="false" ht="34.5" hidden="false" customHeight="true" outlineLevel="0" collapsed="false">
      <c r="A106" s="16" t="s">
        <v>572</v>
      </c>
      <c r="B106" s="16" t="s">
        <v>564</v>
      </c>
      <c r="C106" s="16" t="s">
        <v>357</v>
      </c>
      <c r="D106" s="16" t="s">
        <v>358</v>
      </c>
      <c r="E106" s="16"/>
      <c r="F106" s="16"/>
      <c r="G106" s="16" t="s">
        <v>359</v>
      </c>
      <c r="H106" s="21" t="s">
        <v>360</v>
      </c>
      <c r="I106" s="16" t="s">
        <v>573</v>
      </c>
      <c r="J106" s="16"/>
    </row>
    <row r="107" customFormat="false" ht="34.5" hidden="false" customHeight="true" outlineLevel="0" collapsed="false">
      <c r="A107" s="16" t="s">
        <v>574</v>
      </c>
      <c r="B107" s="16" t="s">
        <v>564</v>
      </c>
      <c r="C107" s="16" t="s">
        <v>357</v>
      </c>
      <c r="D107" s="16" t="s">
        <v>358</v>
      </c>
      <c r="E107" s="16"/>
      <c r="F107" s="16" t="s">
        <v>72</v>
      </c>
      <c r="G107" s="16" t="s">
        <v>219</v>
      </c>
      <c r="H107" s="22" t="s">
        <v>363</v>
      </c>
      <c r="I107" s="16" t="s">
        <v>575</v>
      </c>
      <c r="J107" s="16"/>
    </row>
    <row r="108" customFormat="false" ht="34.5" hidden="false" customHeight="true" outlineLevel="0" collapsed="false">
      <c r="A108" s="16" t="s">
        <v>576</v>
      </c>
      <c r="B108" s="16" t="s">
        <v>564</v>
      </c>
      <c r="C108" s="16" t="s">
        <v>357</v>
      </c>
      <c r="D108" s="16" t="s">
        <v>358</v>
      </c>
      <c r="E108" s="16"/>
      <c r="F108" s="16"/>
      <c r="G108" s="16" t="s">
        <v>359</v>
      </c>
      <c r="H108" s="21" t="s">
        <v>360</v>
      </c>
      <c r="I108" s="16" t="s">
        <v>577</v>
      </c>
      <c r="J108" s="16"/>
    </row>
    <row r="109" customFormat="false" ht="34.5" hidden="false" customHeight="true" outlineLevel="0" collapsed="false">
      <c r="A109" s="16" t="s">
        <v>578</v>
      </c>
      <c r="B109" s="16" t="s">
        <v>564</v>
      </c>
      <c r="C109" s="16" t="s">
        <v>357</v>
      </c>
      <c r="D109" s="16" t="s">
        <v>358</v>
      </c>
      <c r="E109" s="16"/>
      <c r="F109" s="16"/>
      <c r="G109" s="16" t="s">
        <v>359</v>
      </c>
      <c r="H109" s="21" t="s">
        <v>360</v>
      </c>
      <c r="I109" s="16" t="s">
        <v>579</v>
      </c>
      <c r="J109" s="16"/>
    </row>
    <row r="110" customFormat="false" ht="34.5" hidden="false" customHeight="true" outlineLevel="0" collapsed="false">
      <c r="A110" s="16" t="s">
        <v>580</v>
      </c>
      <c r="B110" s="16" t="s">
        <v>564</v>
      </c>
      <c r="C110" s="16" t="s">
        <v>357</v>
      </c>
      <c r="D110" s="16" t="s">
        <v>358</v>
      </c>
      <c r="E110" s="16"/>
      <c r="F110" s="16"/>
      <c r="G110" s="16" t="s">
        <v>359</v>
      </c>
      <c r="H110" s="21" t="s">
        <v>360</v>
      </c>
      <c r="I110" s="16" t="s">
        <v>581</v>
      </c>
      <c r="J110" s="16"/>
    </row>
    <row r="111" customFormat="false" ht="34.5" hidden="false" customHeight="true" outlineLevel="0" collapsed="false">
      <c r="A111" s="16" t="s">
        <v>582</v>
      </c>
      <c r="B111" s="16" t="s">
        <v>564</v>
      </c>
      <c r="C111" s="16" t="s">
        <v>357</v>
      </c>
      <c r="D111" s="16" t="s">
        <v>358</v>
      </c>
      <c r="E111" s="16"/>
      <c r="F111" s="16"/>
      <c r="G111" s="16" t="s">
        <v>359</v>
      </c>
      <c r="H111" s="21" t="s">
        <v>360</v>
      </c>
      <c r="I111" s="16" t="s">
        <v>583</v>
      </c>
      <c r="J111" s="16"/>
    </row>
    <row r="112" customFormat="false" ht="34.5" hidden="false" customHeight="true" outlineLevel="0" collapsed="false">
      <c r="A112" s="16" t="s">
        <v>584</v>
      </c>
      <c r="B112" s="16" t="s">
        <v>564</v>
      </c>
      <c r="C112" s="16" t="s">
        <v>357</v>
      </c>
      <c r="D112" s="16" t="s">
        <v>358</v>
      </c>
      <c r="E112" s="16"/>
      <c r="F112" s="16"/>
      <c r="G112" s="16" t="s">
        <v>359</v>
      </c>
      <c r="H112" s="21" t="s">
        <v>360</v>
      </c>
      <c r="I112" s="16" t="s">
        <v>585</v>
      </c>
      <c r="J112" s="16"/>
    </row>
    <row r="113" customFormat="false" ht="34.5" hidden="false" customHeight="true" outlineLevel="0" collapsed="false">
      <c r="A113" s="16" t="s">
        <v>586</v>
      </c>
      <c r="B113" s="16" t="s">
        <v>564</v>
      </c>
      <c r="C113" s="16" t="s">
        <v>357</v>
      </c>
      <c r="D113" s="16" t="s">
        <v>358</v>
      </c>
      <c r="E113" s="16"/>
      <c r="F113" s="16"/>
      <c r="G113" s="16" t="s">
        <v>359</v>
      </c>
      <c r="H113" s="21" t="s">
        <v>360</v>
      </c>
      <c r="I113" s="16" t="s">
        <v>587</v>
      </c>
      <c r="J113" s="16"/>
    </row>
    <row r="114" customFormat="false" ht="34.5" hidden="false" customHeight="true" outlineLevel="0" collapsed="false">
      <c r="A114" s="16" t="s">
        <v>588</v>
      </c>
      <c r="B114" s="16" t="s">
        <v>564</v>
      </c>
      <c r="C114" s="16" t="s">
        <v>357</v>
      </c>
      <c r="D114" s="16" t="s">
        <v>358</v>
      </c>
      <c r="E114" s="16"/>
      <c r="F114" s="16"/>
      <c r="G114" s="16" t="s">
        <v>359</v>
      </c>
      <c r="H114" s="21" t="s">
        <v>360</v>
      </c>
      <c r="I114" s="16" t="s">
        <v>589</v>
      </c>
      <c r="J114" s="16"/>
    </row>
    <row r="115" customFormat="false" ht="34.5" hidden="false" customHeight="true" outlineLevel="0" collapsed="false">
      <c r="A115" s="16" t="s">
        <v>590</v>
      </c>
      <c r="B115" s="16" t="s">
        <v>564</v>
      </c>
      <c r="C115" s="16" t="s">
        <v>357</v>
      </c>
      <c r="D115" s="16" t="s">
        <v>358</v>
      </c>
      <c r="E115" s="16"/>
      <c r="F115" s="16"/>
      <c r="G115" s="16" t="s">
        <v>359</v>
      </c>
      <c r="H115" s="21" t="s">
        <v>360</v>
      </c>
      <c r="I115" s="16" t="s">
        <v>591</v>
      </c>
      <c r="J115" s="16"/>
    </row>
    <row r="116" customFormat="false" ht="34.5" hidden="false" customHeight="true" outlineLevel="0" collapsed="false">
      <c r="A116" s="16" t="s">
        <v>592</v>
      </c>
      <c r="B116" s="16" t="s">
        <v>564</v>
      </c>
      <c r="C116" s="16" t="s">
        <v>357</v>
      </c>
      <c r="D116" s="16" t="s">
        <v>358</v>
      </c>
      <c r="E116" s="16"/>
      <c r="F116" s="16" t="s">
        <v>72</v>
      </c>
      <c r="G116" s="16" t="s">
        <v>251</v>
      </c>
      <c r="H116" s="23" t="s">
        <v>400</v>
      </c>
      <c r="I116" s="16" t="s">
        <v>593</v>
      </c>
      <c r="J116" s="16"/>
    </row>
    <row r="117" customFormat="false" ht="34.5" hidden="false" customHeight="true" outlineLevel="0" collapsed="false">
      <c r="A117" s="16" t="s">
        <v>594</v>
      </c>
      <c r="B117" s="16" t="s">
        <v>564</v>
      </c>
      <c r="C117" s="16" t="s">
        <v>357</v>
      </c>
      <c r="D117" s="16" t="s">
        <v>358</v>
      </c>
      <c r="E117" s="16"/>
      <c r="F117" s="16"/>
      <c r="G117" s="16" t="s">
        <v>359</v>
      </c>
      <c r="H117" s="21" t="s">
        <v>360</v>
      </c>
      <c r="I117" s="16" t="s">
        <v>595</v>
      </c>
      <c r="J117" s="16"/>
    </row>
    <row r="118" customFormat="false" ht="34.5" hidden="false" customHeight="true" outlineLevel="0" collapsed="false">
      <c r="A118" s="16" t="s">
        <v>596</v>
      </c>
      <c r="B118" s="16" t="s">
        <v>564</v>
      </c>
      <c r="C118" s="16" t="s">
        <v>357</v>
      </c>
      <c r="D118" s="16" t="s">
        <v>358</v>
      </c>
      <c r="E118" s="16"/>
      <c r="F118" s="16" t="s">
        <v>94</v>
      </c>
      <c r="G118" s="16" t="s">
        <v>267</v>
      </c>
      <c r="H118" s="24" t="s">
        <v>553</v>
      </c>
      <c r="I118" s="16" t="s">
        <v>597</v>
      </c>
      <c r="J118" s="16"/>
    </row>
    <row r="119" customFormat="false" ht="34.5" hidden="false" customHeight="true" outlineLevel="0" collapsed="false">
      <c r="A119" s="16" t="s">
        <v>598</v>
      </c>
      <c r="B119" s="16" t="s">
        <v>564</v>
      </c>
      <c r="C119" s="16" t="s">
        <v>357</v>
      </c>
      <c r="D119" s="16" t="s">
        <v>358</v>
      </c>
      <c r="E119" s="16"/>
      <c r="F119" s="16" t="s">
        <v>84</v>
      </c>
      <c r="G119" s="16" t="s">
        <v>227</v>
      </c>
      <c r="H119" s="23" t="s">
        <v>400</v>
      </c>
      <c r="I119" s="16" t="s">
        <v>599</v>
      </c>
      <c r="J119" s="16"/>
    </row>
    <row r="120" customFormat="false" ht="34.5" hidden="false" customHeight="true" outlineLevel="0" collapsed="false">
      <c r="A120" s="16" t="s">
        <v>600</v>
      </c>
      <c r="B120" s="16" t="s">
        <v>564</v>
      </c>
      <c r="C120" s="16" t="s">
        <v>357</v>
      </c>
      <c r="D120" s="16" t="s">
        <v>358</v>
      </c>
      <c r="E120" s="16"/>
      <c r="F120" s="16"/>
      <c r="G120" s="16" t="s">
        <v>359</v>
      </c>
      <c r="H120" s="21" t="s">
        <v>360</v>
      </c>
      <c r="I120" s="16" t="s">
        <v>601</v>
      </c>
      <c r="J120" s="16"/>
    </row>
    <row r="121" customFormat="false" ht="34.5" hidden="false" customHeight="true" outlineLevel="0" collapsed="false">
      <c r="A121" s="16" t="s">
        <v>602</v>
      </c>
      <c r="B121" s="16" t="s">
        <v>564</v>
      </c>
      <c r="C121" s="16" t="s">
        <v>357</v>
      </c>
      <c r="D121" s="16" t="s">
        <v>358</v>
      </c>
      <c r="E121" s="16"/>
      <c r="F121" s="16" t="s">
        <v>72</v>
      </c>
      <c r="G121" s="16" t="s">
        <v>251</v>
      </c>
      <c r="H121" s="23" t="s">
        <v>400</v>
      </c>
      <c r="I121" s="16" t="s">
        <v>603</v>
      </c>
      <c r="J121" s="16"/>
    </row>
    <row r="122" customFormat="false" ht="34.5" hidden="false" customHeight="true" outlineLevel="0" collapsed="false">
      <c r="A122" s="16" t="s">
        <v>604</v>
      </c>
      <c r="B122" s="16" t="s">
        <v>564</v>
      </c>
      <c r="C122" s="16" t="s">
        <v>357</v>
      </c>
      <c r="D122" s="16" t="s">
        <v>358</v>
      </c>
      <c r="E122" s="16"/>
      <c r="F122" s="16"/>
      <c r="G122" s="16" t="s">
        <v>359</v>
      </c>
      <c r="H122" s="21" t="s">
        <v>360</v>
      </c>
      <c r="I122" s="16" t="s">
        <v>605</v>
      </c>
      <c r="J122" s="16"/>
    </row>
    <row r="123" customFormat="false" ht="34.5" hidden="false" customHeight="true" outlineLevel="0" collapsed="false">
      <c r="A123" s="16" t="s">
        <v>606</v>
      </c>
      <c r="B123" s="16" t="s">
        <v>564</v>
      </c>
      <c r="C123" s="16" t="s">
        <v>357</v>
      </c>
      <c r="D123" s="16" t="s">
        <v>358</v>
      </c>
      <c r="E123" s="16"/>
      <c r="F123" s="16" t="s">
        <v>72</v>
      </c>
      <c r="G123" s="16" t="s">
        <v>219</v>
      </c>
      <c r="H123" s="22" t="s">
        <v>363</v>
      </c>
      <c r="I123" s="16" t="s">
        <v>607</v>
      </c>
      <c r="J123" s="16"/>
    </row>
    <row r="124" customFormat="false" ht="34.5" hidden="false" customHeight="true" outlineLevel="0" collapsed="false">
      <c r="A124" s="16" t="s">
        <v>608</v>
      </c>
      <c r="B124" s="16" t="s">
        <v>564</v>
      </c>
      <c r="C124" s="16" t="s">
        <v>357</v>
      </c>
      <c r="D124" s="16" t="s">
        <v>358</v>
      </c>
      <c r="E124" s="16"/>
      <c r="F124" s="16" t="s">
        <v>72</v>
      </c>
      <c r="G124" s="16" t="s">
        <v>251</v>
      </c>
      <c r="H124" s="23" t="s">
        <v>400</v>
      </c>
      <c r="I124" s="16" t="s">
        <v>609</v>
      </c>
      <c r="J124" s="16"/>
    </row>
    <row r="125" customFormat="false" ht="34.5" hidden="false" customHeight="true" outlineLevel="0" collapsed="false">
      <c r="A125" s="16" t="s">
        <v>610</v>
      </c>
      <c r="B125" s="16" t="s">
        <v>564</v>
      </c>
      <c r="C125" s="16" t="s">
        <v>357</v>
      </c>
      <c r="D125" s="16" t="s">
        <v>358</v>
      </c>
      <c r="E125" s="16"/>
      <c r="F125" s="16"/>
      <c r="G125" s="16" t="s">
        <v>359</v>
      </c>
      <c r="H125" s="21" t="s">
        <v>360</v>
      </c>
      <c r="I125" s="16" t="s">
        <v>611</v>
      </c>
      <c r="J125" s="16"/>
    </row>
    <row r="126" customFormat="false" ht="34.5" hidden="false" customHeight="true" outlineLevel="0" collapsed="false">
      <c r="A126" s="16" t="s">
        <v>612</v>
      </c>
      <c r="B126" s="16" t="s">
        <v>564</v>
      </c>
      <c r="C126" s="16" t="s">
        <v>357</v>
      </c>
      <c r="D126" s="16" t="s">
        <v>358</v>
      </c>
      <c r="E126" s="16"/>
      <c r="F126" s="16" t="s">
        <v>79</v>
      </c>
      <c r="G126" s="16" t="s">
        <v>223</v>
      </c>
      <c r="H126" s="23" t="s">
        <v>400</v>
      </c>
      <c r="I126" s="16" t="s">
        <v>613</v>
      </c>
      <c r="J126" s="16"/>
    </row>
    <row r="127" customFormat="false" ht="34.5" hidden="false" customHeight="true" outlineLevel="0" collapsed="false">
      <c r="A127" s="16" t="s">
        <v>614</v>
      </c>
      <c r="B127" s="16" t="s">
        <v>564</v>
      </c>
      <c r="C127" s="16" t="s">
        <v>357</v>
      </c>
      <c r="D127" s="16" t="s">
        <v>358</v>
      </c>
      <c r="E127" s="16"/>
      <c r="F127" s="16"/>
      <c r="G127" s="16" t="s">
        <v>359</v>
      </c>
      <c r="H127" s="21" t="s">
        <v>360</v>
      </c>
      <c r="I127" s="16" t="s">
        <v>615</v>
      </c>
      <c r="J127" s="16"/>
    </row>
    <row r="128" customFormat="false" ht="34.5" hidden="false" customHeight="true" outlineLevel="0" collapsed="false">
      <c r="A128" s="16" t="s">
        <v>616</v>
      </c>
      <c r="B128" s="16" t="s">
        <v>564</v>
      </c>
      <c r="C128" s="16" t="s">
        <v>357</v>
      </c>
      <c r="D128" s="16" t="s">
        <v>358</v>
      </c>
      <c r="E128" s="16"/>
      <c r="F128" s="16" t="s">
        <v>89</v>
      </c>
      <c r="G128" s="16" t="s">
        <v>263</v>
      </c>
      <c r="H128" s="24" t="s">
        <v>553</v>
      </c>
      <c r="I128" s="16" t="s">
        <v>617</v>
      </c>
      <c r="J128" s="16"/>
    </row>
    <row r="129" customFormat="false" ht="34.5" hidden="false" customHeight="true" outlineLevel="0" collapsed="false">
      <c r="A129" s="16" t="s">
        <v>618</v>
      </c>
      <c r="B129" s="16" t="s">
        <v>564</v>
      </c>
      <c r="C129" s="16" t="s">
        <v>357</v>
      </c>
      <c r="D129" s="16" t="s">
        <v>358</v>
      </c>
      <c r="E129" s="16"/>
      <c r="F129" s="16"/>
      <c r="G129" s="16" t="s">
        <v>359</v>
      </c>
      <c r="H129" s="21" t="s">
        <v>360</v>
      </c>
      <c r="I129" s="16" t="s">
        <v>619</v>
      </c>
      <c r="J129" s="16"/>
    </row>
    <row r="130" customFormat="false" ht="34.5" hidden="false" customHeight="true" outlineLevel="0" collapsed="false">
      <c r="A130" s="16" t="s">
        <v>620</v>
      </c>
      <c r="B130" s="16" t="s">
        <v>564</v>
      </c>
      <c r="C130" s="16" t="s">
        <v>357</v>
      </c>
      <c r="D130" s="16" t="s">
        <v>358</v>
      </c>
      <c r="E130" s="16"/>
      <c r="F130" s="16"/>
      <c r="G130" s="16" t="s">
        <v>359</v>
      </c>
      <c r="H130" s="21" t="s">
        <v>360</v>
      </c>
      <c r="I130" s="16" t="s">
        <v>621</v>
      </c>
      <c r="J130" s="16"/>
    </row>
    <row r="131" customFormat="false" ht="34.5" hidden="false" customHeight="true" outlineLevel="0" collapsed="false">
      <c r="A131" s="16" t="s">
        <v>622</v>
      </c>
      <c r="B131" s="16" t="s">
        <v>564</v>
      </c>
      <c r="C131" s="16" t="s">
        <v>357</v>
      </c>
      <c r="D131" s="16" t="s">
        <v>358</v>
      </c>
      <c r="E131" s="16"/>
      <c r="F131" s="16"/>
      <c r="G131" s="16" t="s">
        <v>359</v>
      </c>
      <c r="H131" s="21" t="s">
        <v>360</v>
      </c>
      <c r="I131" s="16" t="s">
        <v>623</v>
      </c>
      <c r="J131" s="16"/>
    </row>
    <row r="132" customFormat="false" ht="34.5" hidden="false" customHeight="true" outlineLevel="0" collapsed="false">
      <c r="A132" s="16" t="s">
        <v>624</v>
      </c>
      <c r="B132" s="16" t="s">
        <v>564</v>
      </c>
      <c r="C132" s="16" t="s">
        <v>357</v>
      </c>
      <c r="D132" s="16" t="s">
        <v>358</v>
      </c>
      <c r="E132" s="16"/>
      <c r="F132" s="16"/>
      <c r="G132" s="16" t="s">
        <v>359</v>
      </c>
      <c r="H132" s="21" t="s">
        <v>360</v>
      </c>
      <c r="I132" s="16" t="s">
        <v>625</v>
      </c>
      <c r="J132" s="16"/>
    </row>
    <row r="133" customFormat="false" ht="34.5" hidden="false" customHeight="true" outlineLevel="0" collapsed="false">
      <c r="A133" s="16" t="s">
        <v>626</v>
      </c>
      <c r="B133" s="16" t="s">
        <v>564</v>
      </c>
      <c r="C133" s="16" t="s">
        <v>357</v>
      </c>
      <c r="D133" s="16" t="s">
        <v>358</v>
      </c>
      <c r="E133" s="16"/>
      <c r="F133" s="16"/>
      <c r="G133" s="16" t="s">
        <v>359</v>
      </c>
      <c r="H133" s="21" t="s">
        <v>360</v>
      </c>
      <c r="I133" s="16" t="s">
        <v>627</v>
      </c>
      <c r="J133" s="16"/>
    </row>
    <row r="134" customFormat="false" ht="34.5" hidden="false" customHeight="true" outlineLevel="0" collapsed="false">
      <c r="A134" s="16" t="s">
        <v>628</v>
      </c>
      <c r="B134" s="16" t="s">
        <v>564</v>
      </c>
      <c r="C134" s="16" t="s">
        <v>357</v>
      </c>
      <c r="D134" s="16" t="s">
        <v>358</v>
      </c>
      <c r="E134" s="16"/>
      <c r="F134" s="16"/>
      <c r="G134" s="16" t="s">
        <v>359</v>
      </c>
      <c r="H134" s="21" t="s">
        <v>360</v>
      </c>
      <c r="I134" s="16" t="s">
        <v>629</v>
      </c>
      <c r="J134" s="16"/>
    </row>
    <row r="135" customFormat="false" ht="34.5" hidden="false" customHeight="true" outlineLevel="0" collapsed="false">
      <c r="A135" s="16" t="s">
        <v>630</v>
      </c>
      <c r="B135" s="16" t="s">
        <v>564</v>
      </c>
      <c r="C135" s="16" t="s">
        <v>357</v>
      </c>
      <c r="D135" s="16" t="s">
        <v>358</v>
      </c>
      <c r="E135" s="16"/>
      <c r="F135" s="16"/>
      <c r="G135" s="16" t="s">
        <v>359</v>
      </c>
      <c r="H135" s="21" t="s">
        <v>360</v>
      </c>
      <c r="I135" s="16" t="s">
        <v>631</v>
      </c>
      <c r="J135" s="16"/>
    </row>
    <row r="136" customFormat="false" ht="34.5" hidden="false" customHeight="true" outlineLevel="0" collapsed="false">
      <c r="A136" s="16" t="s">
        <v>632</v>
      </c>
      <c r="B136" s="16" t="s">
        <v>564</v>
      </c>
      <c r="C136" s="16" t="s">
        <v>357</v>
      </c>
      <c r="D136" s="16" t="s">
        <v>358</v>
      </c>
      <c r="E136" s="16"/>
      <c r="F136" s="16"/>
      <c r="G136" s="16" t="s">
        <v>359</v>
      </c>
      <c r="H136" s="21" t="s">
        <v>360</v>
      </c>
      <c r="I136" s="16" t="s">
        <v>633</v>
      </c>
      <c r="J136" s="16"/>
    </row>
    <row r="137" customFormat="false" ht="34.5" hidden="false" customHeight="true" outlineLevel="0" collapsed="false">
      <c r="A137" s="16" t="s">
        <v>634</v>
      </c>
      <c r="B137" s="16" t="s">
        <v>564</v>
      </c>
      <c r="C137" s="16" t="s">
        <v>357</v>
      </c>
      <c r="D137" s="16" t="s">
        <v>358</v>
      </c>
      <c r="E137" s="16"/>
      <c r="F137" s="16"/>
      <c r="G137" s="16" t="s">
        <v>359</v>
      </c>
      <c r="H137" s="21" t="s">
        <v>360</v>
      </c>
      <c r="I137" s="16" t="s">
        <v>635</v>
      </c>
      <c r="J137" s="16"/>
    </row>
    <row r="138" customFormat="false" ht="34.5" hidden="false" customHeight="true" outlineLevel="0" collapsed="false">
      <c r="A138" s="16" t="s">
        <v>636</v>
      </c>
      <c r="B138" s="16" t="s">
        <v>564</v>
      </c>
      <c r="C138" s="16" t="s">
        <v>357</v>
      </c>
      <c r="D138" s="16" t="s">
        <v>358</v>
      </c>
      <c r="E138" s="16"/>
      <c r="F138" s="16"/>
      <c r="G138" s="16" t="s">
        <v>359</v>
      </c>
      <c r="H138" s="21" t="s">
        <v>360</v>
      </c>
      <c r="I138" s="16" t="s">
        <v>637</v>
      </c>
      <c r="J138" s="16"/>
    </row>
    <row r="139" customFormat="false" ht="34.5" hidden="false" customHeight="true" outlineLevel="0" collapsed="false">
      <c r="A139" s="16" t="s">
        <v>638</v>
      </c>
      <c r="B139" s="16" t="s">
        <v>564</v>
      </c>
      <c r="C139" s="16" t="s">
        <v>357</v>
      </c>
      <c r="D139" s="16" t="s">
        <v>358</v>
      </c>
      <c r="E139" s="16"/>
      <c r="F139" s="16"/>
      <c r="G139" s="16" t="s">
        <v>359</v>
      </c>
      <c r="H139" s="21" t="s">
        <v>360</v>
      </c>
      <c r="I139" s="16" t="s">
        <v>639</v>
      </c>
      <c r="J139" s="16"/>
    </row>
    <row r="140" customFormat="false" ht="34.5" hidden="false" customHeight="true" outlineLevel="0" collapsed="false">
      <c r="A140" s="16" t="s">
        <v>640</v>
      </c>
      <c r="B140" s="16" t="s">
        <v>564</v>
      </c>
      <c r="C140" s="16" t="s">
        <v>357</v>
      </c>
      <c r="D140" s="16" t="s">
        <v>358</v>
      </c>
      <c r="E140" s="16"/>
      <c r="F140" s="16"/>
      <c r="G140" s="16" t="s">
        <v>359</v>
      </c>
      <c r="H140" s="21" t="s">
        <v>360</v>
      </c>
      <c r="I140" s="16" t="s">
        <v>641</v>
      </c>
      <c r="J140" s="16"/>
    </row>
    <row r="141" customFormat="false" ht="34.5" hidden="false" customHeight="true" outlineLevel="0" collapsed="false">
      <c r="A141" s="16" t="s">
        <v>642</v>
      </c>
      <c r="B141" s="16" t="s">
        <v>564</v>
      </c>
      <c r="C141" s="16" t="s">
        <v>357</v>
      </c>
      <c r="D141" s="16" t="s">
        <v>358</v>
      </c>
      <c r="E141" s="16"/>
      <c r="F141" s="16"/>
      <c r="G141" s="16" t="s">
        <v>359</v>
      </c>
      <c r="H141" s="21" t="s">
        <v>360</v>
      </c>
      <c r="I141" s="16" t="s">
        <v>643</v>
      </c>
      <c r="J141" s="16"/>
    </row>
    <row r="142" customFormat="false" ht="34.5" hidden="false" customHeight="true" outlineLevel="0" collapsed="false">
      <c r="A142" s="16" t="s">
        <v>644</v>
      </c>
      <c r="B142" s="16" t="s">
        <v>564</v>
      </c>
      <c r="C142" s="16" t="s">
        <v>357</v>
      </c>
      <c r="D142" s="16" t="s">
        <v>358</v>
      </c>
      <c r="E142" s="16"/>
      <c r="F142" s="16"/>
      <c r="G142" s="16" t="s">
        <v>359</v>
      </c>
      <c r="H142" s="21" t="s">
        <v>360</v>
      </c>
      <c r="I142" s="16" t="s">
        <v>645</v>
      </c>
      <c r="J142" s="16"/>
    </row>
    <row r="143" customFormat="false" ht="34.5" hidden="false" customHeight="true" outlineLevel="0" collapsed="false">
      <c r="A143" s="16" t="s">
        <v>646</v>
      </c>
      <c r="B143" s="16" t="s">
        <v>564</v>
      </c>
      <c r="C143" s="16" t="s">
        <v>357</v>
      </c>
      <c r="D143" s="16" t="s">
        <v>358</v>
      </c>
      <c r="E143" s="16"/>
      <c r="F143" s="16"/>
      <c r="G143" s="16" t="s">
        <v>359</v>
      </c>
      <c r="H143" s="21" t="s">
        <v>360</v>
      </c>
      <c r="I143" s="16" t="s">
        <v>647</v>
      </c>
      <c r="J143" s="16"/>
    </row>
    <row r="144" customFormat="false" ht="34.5" hidden="false" customHeight="true" outlineLevel="0" collapsed="false">
      <c r="A144" s="16" t="s">
        <v>648</v>
      </c>
      <c r="B144" s="16" t="s">
        <v>564</v>
      </c>
      <c r="C144" s="16" t="s">
        <v>357</v>
      </c>
      <c r="D144" s="16" t="s">
        <v>358</v>
      </c>
      <c r="E144" s="16"/>
      <c r="F144" s="16"/>
      <c r="G144" s="16" t="s">
        <v>359</v>
      </c>
      <c r="H144" s="21" t="s">
        <v>360</v>
      </c>
      <c r="I144" s="16" t="s">
        <v>649</v>
      </c>
      <c r="J144" s="16"/>
    </row>
    <row r="145" customFormat="false" ht="34.5" hidden="false" customHeight="true" outlineLevel="0" collapsed="false">
      <c r="A145" s="16" t="s">
        <v>650</v>
      </c>
      <c r="B145" s="16" t="s">
        <v>564</v>
      </c>
      <c r="C145" s="16" t="s">
        <v>357</v>
      </c>
      <c r="D145" s="16" t="s">
        <v>358</v>
      </c>
      <c r="E145" s="16"/>
      <c r="F145" s="16"/>
      <c r="G145" s="16" t="s">
        <v>359</v>
      </c>
      <c r="H145" s="21" t="s">
        <v>360</v>
      </c>
      <c r="I145" s="16" t="s">
        <v>651</v>
      </c>
      <c r="J145" s="16"/>
    </row>
    <row r="146" customFormat="false" ht="34.5" hidden="false" customHeight="true" outlineLevel="0" collapsed="false">
      <c r="A146" s="16" t="s">
        <v>652</v>
      </c>
      <c r="B146" s="16" t="s">
        <v>564</v>
      </c>
      <c r="C146" s="16" t="s">
        <v>357</v>
      </c>
      <c r="D146" s="16" t="s">
        <v>358</v>
      </c>
      <c r="E146" s="16"/>
      <c r="F146" s="16"/>
      <c r="G146" s="16" t="s">
        <v>359</v>
      </c>
      <c r="H146" s="21" t="s">
        <v>360</v>
      </c>
      <c r="I146" s="16" t="s">
        <v>653</v>
      </c>
      <c r="J146" s="16"/>
    </row>
    <row r="147" customFormat="false" ht="34.5" hidden="false" customHeight="true" outlineLevel="0" collapsed="false">
      <c r="A147" s="16" t="s">
        <v>654</v>
      </c>
      <c r="B147" s="16" t="s">
        <v>564</v>
      </c>
      <c r="C147" s="16" t="s">
        <v>357</v>
      </c>
      <c r="D147" s="16" t="s">
        <v>358</v>
      </c>
      <c r="E147" s="16"/>
      <c r="F147" s="16"/>
      <c r="G147" s="16" t="s">
        <v>359</v>
      </c>
      <c r="H147" s="21" t="s">
        <v>360</v>
      </c>
      <c r="I147" s="16" t="s">
        <v>655</v>
      </c>
      <c r="J147" s="16"/>
    </row>
    <row r="148" customFormat="false" ht="34.5" hidden="false" customHeight="true" outlineLevel="0" collapsed="false">
      <c r="A148" s="16" t="s">
        <v>656</v>
      </c>
      <c r="B148" s="16" t="s">
        <v>564</v>
      </c>
      <c r="C148" s="16" t="s">
        <v>357</v>
      </c>
      <c r="D148" s="16" t="s">
        <v>358</v>
      </c>
      <c r="E148" s="16"/>
      <c r="F148" s="16"/>
      <c r="G148" s="16" t="s">
        <v>359</v>
      </c>
      <c r="H148" s="21" t="s">
        <v>360</v>
      </c>
      <c r="I148" s="16" t="s">
        <v>657</v>
      </c>
      <c r="J148" s="16"/>
    </row>
    <row r="149" customFormat="false" ht="34.5" hidden="false" customHeight="true" outlineLevel="0" collapsed="false">
      <c r="A149" s="16" t="s">
        <v>658</v>
      </c>
      <c r="B149" s="16" t="s">
        <v>564</v>
      </c>
      <c r="C149" s="16" t="s">
        <v>357</v>
      </c>
      <c r="D149" s="16" t="s">
        <v>358</v>
      </c>
      <c r="E149" s="16"/>
      <c r="F149" s="16"/>
      <c r="G149" s="16" t="s">
        <v>359</v>
      </c>
      <c r="H149" s="21" t="s">
        <v>360</v>
      </c>
      <c r="I149" s="16" t="s">
        <v>659</v>
      </c>
      <c r="J149" s="16"/>
    </row>
    <row r="150" customFormat="false" ht="34.5" hidden="false" customHeight="true" outlineLevel="0" collapsed="false">
      <c r="A150" s="16" t="s">
        <v>660</v>
      </c>
      <c r="B150" s="16" t="s">
        <v>564</v>
      </c>
      <c r="C150" s="16" t="s">
        <v>357</v>
      </c>
      <c r="D150" s="16" t="s">
        <v>358</v>
      </c>
      <c r="E150" s="16"/>
      <c r="F150" s="16"/>
      <c r="G150" s="16" t="s">
        <v>359</v>
      </c>
      <c r="H150" s="21" t="s">
        <v>360</v>
      </c>
      <c r="I150" s="16" t="s">
        <v>661</v>
      </c>
      <c r="J150" s="16"/>
    </row>
    <row r="151" customFormat="false" ht="34.5" hidden="false" customHeight="true" outlineLevel="0" collapsed="false">
      <c r="A151" s="16" t="s">
        <v>662</v>
      </c>
      <c r="B151" s="16" t="s">
        <v>564</v>
      </c>
      <c r="C151" s="16" t="s">
        <v>357</v>
      </c>
      <c r="D151" s="16" t="s">
        <v>358</v>
      </c>
      <c r="E151" s="16"/>
      <c r="F151" s="16"/>
      <c r="G151" s="16" t="s">
        <v>359</v>
      </c>
      <c r="H151" s="21" t="s">
        <v>360</v>
      </c>
      <c r="I151" s="16" t="s">
        <v>663</v>
      </c>
      <c r="J151" s="16"/>
    </row>
    <row r="152" customFormat="false" ht="34.5" hidden="false" customHeight="true" outlineLevel="0" collapsed="false">
      <c r="A152" s="16" t="s">
        <v>664</v>
      </c>
      <c r="B152" s="16" t="s">
        <v>14</v>
      </c>
      <c r="C152" s="16" t="s">
        <v>357</v>
      </c>
      <c r="D152" s="16" t="s">
        <v>358</v>
      </c>
      <c r="E152" s="16"/>
      <c r="F152" s="16"/>
      <c r="G152" s="16" t="s">
        <v>359</v>
      </c>
      <c r="H152" s="21" t="s">
        <v>360</v>
      </c>
      <c r="I152" s="16" t="s">
        <v>665</v>
      </c>
      <c r="J152" s="16"/>
    </row>
    <row r="153" customFormat="false" ht="34.5" hidden="false" customHeight="true" outlineLevel="0" collapsed="false">
      <c r="A153" s="16" t="s">
        <v>666</v>
      </c>
      <c r="B153" s="16" t="s">
        <v>14</v>
      </c>
      <c r="C153" s="16" t="s">
        <v>357</v>
      </c>
      <c r="D153" s="16" t="s">
        <v>358</v>
      </c>
      <c r="E153" s="16"/>
      <c r="F153" s="16"/>
      <c r="G153" s="16" t="s">
        <v>359</v>
      </c>
      <c r="H153" s="21" t="s">
        <v>360</v>
      </c>
      <c r="I153" s="16" t="s">
        <v>667</v>
      </c>
      <c r="J153" s="16"/>
    </row>
    <row r="154" customFormat="false" ht="34.5" hidden="false" customHeight="true" outlineLevel="0" collapsed="false">
      <c r="A154" s="16" t="s">
        <v>668</v>
      </c>
      <c r="B154" s="16" t="s">
        <v>14</v>
      </c>
      <c r="C154" s="16" t="s">
        <v>357</v>
      </c>
      <c r="D154" s="16" t="s">
        <v>358</v>
      </c>
      <c r="E154" s="16"/>
      <c r="F154" s="16" t="s">
        <v>89</v>
      </c>
      <c r="G154" s="16" t="s">
        <v>295</v>
      </c>
      <c r="H154" s="22" t="s">
        <v>363</v>
      </c>
      <c r="I154" s="16" t="s">
        <v>669</v>
      </c>
      <c r="J154" s="16"/>
    </row>
    <row r="155" customFormat="false" ht="34.5" hidden="false" customHeight="true" outlineLevel="0" collapsed="false">
      <c r="A155" s="16" t="s">
        <v>670</v>
      </c>
      <c r="B155" s="16" t="s">
        <v>14</v>
      </c>
      <c r="C155" s="16" t="s">
        <v>357</v>
      </c>
      <c r="D155" s="16" t="s">
        <v>358</v>
      </c>
      <c r="E155" s="16"/>
      <c r="F155" s="16"/>
      <c r="G155" s="16" t="s">
        <v>359</v>
      </c>
      <c r="H155" s="21" t="s">
        <v>360</v>
      </c>
      <c r="I155" s="16" t="s">
        <v>671</v>
      </c>
      <c r="J155" s="16"/>
    </row>
    <row r="156" customFormat="false" ht="34.5" hidden="false" customHeight="true" outlineLevel="0" collapsed="false">
      <c r="A156" s="16" t="s">
        <v>672</v>
      </c>
      <c r="B156" s="16" t="s">
        <v>14</v>
      </c>
      <c r="C156" s="16" t="s">
        <v>357</v>
      </c>
      <c r="D156" s="16" t="s">
        <v>358</v>
      </c>
      <c r="E156" s="16"/>
      <c r="F156" s="16" t="s">
        <v>145</v>
      </c>
      <c r="G156" s="16" t="s">
        <v>339</v>
      </c>
      <c r="H156" s="22" t="s">
        <v>363</v>
      </c>
      <c r="I156" s="16" t="s">
        <v>673</v>
      </c>
      <c r="J156" s="16"/>
    </row>
    <row r="157" customFormat="false" ht="34.5" hidden="false" customHeight="true" outlineLevel="0" collapsed="false">
      <c r="A157" s="16" t="s">
        <v>674</v>
      </c>
      <c r="B157" s="16" t="s">
        <v>14</v>
      </c>
      <c r="C157" s="16" t="s">
        <v>357</v>
      </c>
      <c r="D157" s="16" t="s">
        <v>358</v>
      </c>
      <c r="E157" s="16"/>
      <c r="F157" s="16"/>
      <c r="G157" s="16" t="s">
        <v>359</v>
      </c>
      <c r="H157" s="21" t="s">
        <v>360</v>
      </c>
      <c r="I157" s="16" t="s">
        <v>675</v>
      </c>
      <c r="J157" s="16"/>
    </row>
    <row r="158" customFormat="false" ht="34.5" hidden="false" customHeight="true" outlineLevel="0" collapsed="false">
      <c r="A158" s="16" t="s">
        <v>676</v>
      </c>
      <c r="B158" s="16" t="s">
        <v>14</v>
      </c>
      <c r="C158" s="16" t="s">
        <v>357</v>
      </c>
      <c r="D158" s="16" t="s">
        <v>358</v>
      </c>
      <c r="E158" s="16"/>
      <c r="F158" s="16"/>
      <c r="G158" s="16" t="s">
        <v>359</v>
      </c>
      <c r="H158" s="21" t="s">
        <v>360</v>
      </c>
      <c r="I158" s="16" t="s">
        <v>677</v>
      </c>
      <c r="J158" s="16"/>
    </row>
    <row r="159" customFormat="false" ht="34.5" hidden="false" customHeight="true" outlineLevel="0" collapsed="false">
      <c r="A159" s="16" t="s">
        <v>678</v>
      </c>
      <c r="B159" s="16" t="s">
        <v>14</v>
      </c>
      <c r="C159" s="16" t="s">
        <v>357</v>
      </c>
      <c r="D159" s="16" t="s">
        <v>358</v>
      </c>
      <c r="E159" s="16"/>
      <c r="F159" s="16"/>
      <c r="G159" s="16" t="s">
        <v>359</v>
      </c>
      <c r="H159" s="21" t="s">
        <v>360</v>
      </c>
      <c r="I159" s="16" t="s">
        <v>679</v>
      </c>
      <c r="J159" s="16"/>
    </row>
    <row r="160" customFormat="false" ht="34.5" hidden="false" customHeight="true" outlineLevel="0" collapsed="false">
      <c r="A160" s="16" t="s">
        <v>680</v>
      </c>
      <c r="B160" s="16" t="s">
        <v>14</v>
      </c>
      <c r="C160" s="16" t="s">
        <v>357</v>
      </c>
      <c r="D160" s="16" t="s">
        <v>358</v>
      </c>
      <c r="E160" s="16"/>
      <c r="F160" s="16"/>
      <c r="G160" s="16" t="s">
        <v>359</v>
      </c>
      <c r="H160" s="21" t="s">
        <v>360</v>
      </c>
      <c r="I160" s="16" t="s">
        <v>681</v>
      </c>
      <c r="J160" s="16"/>
    </row>
    <row r="161" customFormat="false" ht="34.5" hidden="false" customHeight="true" outlineLevel="0" collapsed="false">
      <c r="A161" s="16" t="s">
        <v>682</v>
      </c>
      <c r="B161" s="16" t="s">
        <v>14</v>
      </c>
      <c r="C161" s="16" t="s">
        <v>357</v>
      </c>
      <c r="D161" s="16" t="s">
        <v>358</v>
      </c>
      <c r="E161" s="16"/>
      <c r="F161" s="16" t="s">
        <v>89</v>
      </c>
      <c r="G161" s="16" t="s">
        <v>295</v>
      </c>
      <c r="H161" s="22" t="s">
        <v>363</v>
      </c>
      <c r="I161" s="16" t="s">
        <v>683</v>
      </c>
      <c r="J161" s="16"/>
    </row>
    <row r="162" customFormat="false" ht="34.5" hidden="false" customHeight="true" outlineLevel="0" collapsed="false">
      <c r="A162" s="16" t="s">
        <v>684</v>
      </c>
      <c r="B162" s="16" t="s">
        <v>14</v>
      </c>
      <c r="C162" s="16" t="s">
        <v>357</v>
      </c>
      <c r="D162" s="16" t="s">
        <v>358</v>
      </c>
      <c r="E162" s="16"/>
      <c r="F162" s="16"/>
      <c r="G162" s="16" t="s">
        <v>359</v>
      </c>
      <c r="H162" s="21" t="s">
        <v>360</v>
      </c>
      <c r="I162" s="16" t="s">
        <v>685</v>
      </c>
      <c r="J162" s="16"/>
    </row>
    <row r="163" customFormat="false" ht="34.5" hidden="false" customHeight="true" outlineLevel="0" collapsed="false">
      <c r="A163" s="16" t="s">
        <v>686</v>
      </c>
      <c r="B163" s="16" t="s">
        <v>14</v>
      </c>
      <c r="C163" s="16" t="s">
        <v>357</v>
      </c>
      <c r="D163" s="16" t="s">
        <v>358</v>
      </c>
      <c r="E163" s="16"/>
      <c r="F163" s="16"/>
      <c r="G163" s="16" t="s">
        <v>359</v>
      </c>
      <c r="H163" s="21" t="s">
        <v>360</v>
      </c>
      <c r="I163" s="16" t="s">
        <v>687</v>
      </c>
      <c r="J163" s="16"/>
    </row>
    <row r="164" customFormat="false" ht="34.5" hidden="false" customHeight="true" outlineLevel="0" collapsed="false">
      <c r="A164" s="16" t="s">
        <v>688</v>
      </c>
      <c r="B164" s="16" t="s">
        <v>14</v>
      </c>
      <c r="C164" s="16" t="s">
        <v>357</v>
      </c>
      <c r="D164" s="16" t="s">
        <v>358</v>
      </c>
      <c r="E164" s="16"/>
      <c r="F164" s="16"/>
      <c r="G164" s="16" t="s">
        <v>359</v>
      </c>
      <c r="H164" s="21" t="s">
        <v>360</v>
      </c>
      <c r="I164" s="16" t="s">
        <v>689</v>
      </c>
      <c r="J164" s="16"/>
    </row>
    <row r="165" customFormat="false" ht="34.5" hidden="false" customHeight="true" outlineLevel="0" collapsed="false">
      <c r="A165" s="16" t="s">
        <v>690</v>
      </c>
      <c r="B165" s="16" t="s">
        <v>14</v>
      </c>
      <c r="C165" s="16" t="s">
        <v>357</v>
      </c>
      <c r="D165" s="16" t="s">
        <v>358</v>
      </c>
      <c r="E165" s="16"/>
      <c r="F165" s="16"/>
      <c r="G165" s="16" t="s">
        <v>359</v>
      </c>
      <c r="H165" s="21" t="s">
        <v>360</v>
      </c>
      <c r="I165" s="16" t="s">
        <v>691</v>
      </c>
      <c r="J165" s="16"/>
    </row>
    <row r="166" customFormat="false" ht="34.5" hidden="false" customHeight="true" outlineLevel="0" collapsed="false">
      <c r="A166" s="16" t="s">
        <v>692</v>
      </c>
      <c r="B166" s="16" t="s">
        <v>14</v>
      </c>
      <c r="C166" s="16" t="s">
        <v>357</v>
      </c>
      <c r="D166" s="16" t="s">
        <v>358</v>
      </c>
      <c r="E166" s="16"/>
      <c r="F166" s="16"/>
      <c r="G166" s="16" t="s">
        <v>359</v>
      </c>
      <c r="H166" s="21" t="s">
        <v>360</v>
      </c>
      <c r="I166" s="16" t="s">
        <v>693</v>
      </c>
      <c r="J166" s="16"/>
    </row>
    <row r="167" customFormat="false" ht="34.5" hidden="false" customHeight="true" outlineLevel="0" collapsed="false">
      <c r="A167" s="16" t="s">
        <v>694</v>
      </c>
      <c r="B167" s="16" t="s">
        <v>14</v>
      </c>
      <c r="C167" s="16" t="s">
        <v>357</v>
      </c>
      <c r="D167" s="16" t="s">
        <v>358</v>
      </c>
      <c r="E167" s="16"/>
      <c r="F167" s="16"/>
      <c r="G167" s="16" t="s">
        <v>359</v>
      </c>
      <c r="H167" s="21" t="s">
        <v>360</v>
      </c>
      <c r="I167" s="16" t="s">
        <v>695</v>
      </c>
      <c r="J167" s="16"/>
    </row>
    <row r="168" customFormat="false" ht="34.5" hidden="false" customHeight="true" outlineLevel="0" collapsed="false">
      <c r="A168" s="16" t="s">
        <v>696</v>
      </c>
      <c r="B168" s="16" t="s">
        <v>14</v>
      </c>
      <c r="C168" s="16" t="s">
        <v>357</v>
      </c>
      <c r="D168" s="16" t="s">
        <v>358</v>
      </c>
      <c r="E168" s="16"/>
      <c r="F168" s="16"/>
      <c r="G168" s="16" t="s">
        <v>359</v>
      </c>
      <c r="H168" s="21" t="s">
        <v>360</v>
      </c>
      <c r="I168" s="16" t="s">
        <v>697</v>
      </c>
      <c r="J168" s="16"/>
    </row>
    <row r="169" customFormat="false" ht="34.5" hidden="false" customHeight="true" outlineLevel="0" collapsed="false">
      <c r="A169" s="16" t="s">
        <v>698</v>
      </c>
      <c r="B169" s="16" t="s">
        <v>14</v>
      </c>
      <c r="C169" s="16" t="s">
        <v>357</v>
      </c>
      <c r="D169" s="16" t="s">
        <v>358</v>
      </c>
      <c r="E169" s="16"/>
      <c r="F169" s="16" t="s">
        <v>89</v>
      </c>
      <c r="G169" s="16" t="s">
        <v>295</v>
      </c>
      <c r="H169" s="22" t="s">
        <v>363</v>
      </c>
      <c r="I169" s="16" t="s">
        <v>699</v>
      </c>
      <c r="J169" s="16"/>
    </row>
    <row r="170" customFormat="false" ht="34.5" hidden="false" customHeight="true" outlineLevel="0" collapsed="false">
      <c r="A170" s="16" t="s">
        <v>700</v>
      </c>
      <c r="B170" s="16" t="s">
        <v>14</v>
      </c>
      <c r="C170" s="16" t="s">
        <v>357</v>
      </c>
      <c r="D170" s="16" t="s">
        <v>358</v>
      </c>
      <c r="E170" s="16"/>
      <c r="F170" s="16"/>
      <c r="G170" s="16" t="s">
        <v>359</v>
      </c>
      <c r="H170" s="21" t="s">
        <v>360</v>
      </c>
      <c r="I170" s="16" t="s">
        <v>701</v>
      </c>
      <c r="J170" s="16"/>
    </row>
    <row r="171" customFormat="false" ht="34.5" hidden="false" customHeight="true" outlineLevel="0" collapsed="false">
      <c r="A171" s="16" t="s">
        <v>702</v>
      </c>
      <c r="B171" s="16" t="s">
        <v>14</v>
      </c>
      <c r="C171" s="16" t="s">
        <v>357</v>
      </c>
      <c r="D171" s="16" t="s">
        <v>358</v>
      </c>
      <c r="E171" s="16"/>
      <c r="F171" s="16"/>
      <c r="G171" s="16" t="s">
        <v>359</v>
      </c>
      <c r="H171" s="21" t="s">
        <v>360</v>
      </c>
      <c r="I171" s="16" t="s">
        <v>703</v>
      </c>
      <c r="J171" s="16"/>
    </row>
    <row r="172" customFormat="false" ht="34.5" hidden="false" customHeight="true" outlineLevel="0" collapsed="false">
      <c r="A172" s="16" t="s">
        <v>704</v>
      </c>
      <c r="B172" s="16" t="s">
        <v>14</v>
      </c>
      <c r="C172" s="16" t="s">
        <v>357</v>
      </c>
      <c r="D172" s="16" t="s">
        <v>358</v>
      </c>
      <c r="E172" s="16"/>
      <c r="F172" s="16"/>
      <c r="G172" s="16" t="s">
        <v>359</v>
      </c>
      <c r="H172" s="21" t="s">
        <v>360</v>
      </c>
      <c r="I172" s="16" t="s">
        <v>705</v>
      </c>
      <c r="J172" s="16"/>
    </row>
    <row r="173" customFormat="false" ht="34.5" hidden="false" customHeight="true" outlineLevel="0" collapsed="false">
      <c r="A173" s="16" t="s">
        <v>706</v>
      </c>
      <c r="B173" s="16" t="s">
        <v>14</v>
      </c>
      <c r="C173" s="16" t="s">
        <v>357</v>
      </c>
      <c r="D173" s="16" t="s">
        <v>358</v>
      </c>
      <c r="E173" s="16"/>
      <c r="F173" s="16" t="s">
        <v>135</v>
      </c>
      <c r="G173" s="16" t="s">
        <v>331</v>
      </c>
      <c r="H173" s="22" t="s">
        <v>363</v>
      </c>
      <c r="I173" s="16" t="s">
        <v>707</v>
      </c>
      <c r="J173" s="16"/>
    </row>
    <row r="174" customFormat="false" ht="34.5" hidden="false" customHeight="true" outlineLevel="0" collapsed="false">
      <c r="A174" s="16" t="s">
        <v>708</v>
      </c>
      <c r="B174" s="16" t="s">
        <v>14</v>
      </c>
      <c r="C174" s="16" t="s">
        <v>357</v>
      </c>
      <c r="D174" s="16" t="s">
        <v>358</v>
      </c>
      <c r="E174" s="16"/>
      <c r="F174" s="16"/>
      <c r="G174" s="16" t="s">
        <v>359</v>
      </c>
      <c r="H174" s="21" t="s">
        <v>360</v>
      </c>
      <c r="I174" s="16" t="s">
        <v>709</v>
      </c>
      <c r="J174" s="16"/>
    </row>
    <row r="175" customFormat="false" ht="34.5" hidden="false" customHeight="true" outlineLevel="0" collapsed="false">
      <c r="A175" s="16" t="s">
        <v>710</v>
      </c>
      <c r="B175" s="16" t="s">
        <v>14</v>
      </c>
      <c r="C175" s="16" t="s">
        <v>357</v>
      </c>
      <c r="D175" s="16" t="s">
        <v>358</v>
      </c>
      <c r="E175" s="16"/>
      <c r="F175" s="16"/>
      <c r="G175" s="16" t="s">
        <v>359</v>
      </c>
      <c r="H175" s="21" t="s">
        <v>360</v>
      </c>
      <c r="I175" s="16" t="s">
        <v>711</v>
      </c>
      <c r="J175" s="16"/>
    </row>
    <row r="176" customFormat="false" ht="34.5" hidden="false" customHeight="true" outlineLevel="0" collapsed="false">
      <c r="A176" s="16" t="s">
        <v>712</v>
      </c>
      <c r="B176" s="16" t="s">
        <v>14</v>
      </c>
      <c r="C176" s="16" t="s">
        <v>357</v>
      </c>
      <c r="D176" s="16" t="s">
        <v>358</v>
      </c>
      <c r="E176" s="16"/>
      <c r="F176" s="16"/>
      <c r="G176" s="16" t="s">
        <v>359</v>
      </c>
      <c r="H176" s="21" t="s">
        <v>360</v>
      </c>
      <c r="I176" s="16" t="s">
        <v>713</v>
      </c>
      <c r="J176" s="16"/>
    </row>
    <row r="177" customFormat="false" ht="34.5" hidden="false" customHeight="true" outlineLevel="0" collapsed="false">
      <c r="A177" s="16" t="s">
        <v>714</v>
      </c>
      <c r="B177" s="16" t="s">
        <v>14</v>
      </c>
      <c r="C177" s="16" t="s">
        <v>357</v>
      </c>
      <c r="D177" s="16" t="s">
        <v>358</v>
      </c>
      <c r="E177" s="16"/>
      <c r="F177" s="16"/>
      <c r="G177" s="16" t="s">
        <v>359</v>
      </c>
      <c r="H177" s="21" t="s">
        <v>360</v>
      </c>
      <c r="I177" s="16" t="s">
        <v>715</v>
      </c>
      <c r="J177" s="16"/>
    </row>
    <row r="178" customFormat="false" ht="34.5" hidden="false" customHeight="true" outlineLevel="0" collapsed="false">
      <c r="A178" s="16" t="s">
        <v>716</v>
      </c>
      <c r="B178" s="16" t="s">
        <v>14</v>
      </c>
      <c r="C178" s="16" t="s">
        <v>357</v>
      </c>
      <c r="D178" s="16" t="s">
        <v>358</v>
      </c>
      <c r="E178" s="16"/>
      <c r="F178" s="16" t="s">
        <v>89</v>
      </c>
      <c r="G178" s="16" t="s">
        <v>295</v>
      </c>
      <c r="H178" s="22" t="s">
        <v>363</v>
      </c>
      <c r="I178" s="16" t="s">
        <v>717</v>
      </c>
      <c r="J178" s="16"/>
    </row>
    <row r="179" customFormat="false" ht="34.5" hidden="false" customHeight="true" outlineLevel="0" collapsed="false">
      <c r="A179" s="16" t="s">
        <v>718</v>
      </c>
      <c r="B179" s="16" t="s">
        <v>14</v>
      </c>
      <c r="C179" s="16" t="s">
        <v>357</v>
      </c>
      <c r="D179" s="16" t="s">
        <v>358</v>
      </c>
      <c r="E179" s="16"/>
      <c r="F179" s="16"/>
      <c r="G179" s="16" t="s">
        <v>359</v>
      </c>
      <c r="H179" s="21" t="s">
        <v>360</v>
      </c>
      <c r="I179" s="16" t="s">
        <v>719</v>
      </c>
      <c r="J179" s="16"/>
    </row>
    <row r="180" customFormat="false" ht="34.5" hidden="false" customHeight="true" outlineLevel="0" collapsed="false">
      <c r="A180" s="16" t="s">
        <v>720</v>
      </c>
      <c r="B180" s="16" t="s">
        <v>14</v>
      </c>
      <c r="C180" s="16" t="s">
        <v>357</v>
      </c>
      <c r="D180" s="16" t="s">
        <v>358</v>
      </c>
      <c r="E180" s="16"/>
      <c r="F180" s="16" t="s">
        <v>89</v>
      </c>
      <c r="G180" s="16" t="s">
        <v>295</v>
      </c>
      <c r="H180" s="22" t="s">
        <v>363</v>
      </c>
      <c r="I180" s="16" t="s">
        <v>721</v>
      </c>
      <c r="J180" s="16"/>
    </row>
    <row r="181" customFormat="false" ht="34.5" hidden="false" customHeight="true" outlineLevel="0" collapsed="false">
      <c r="A181" s="16" t="s">
        <v>722</v>
      </c>
      <c r="B181" s="16" t="s">
        <v>14</v>
      </c>
      <c r="C181" s="16" t="s">
        <v>357</v>
      </c>
      <c r="D181" s="16" t="s">
        <v>358</v>
      </c>
      <c r="E181" s="16"/>
      <c r="F181" s="16"/>
      <c r="G181" s="16" t="s">
        <v>359</v>
      </c>
      <c r="H181" s="21" t="s">
        <v>360</v>
      </c>
      <c r="I181" s="16" t="s">
        <v>723</v>
      </c>
      <c r="J181" s="16"/>
    </row>
    <row r="182" customFormat="false" ht="34.5" hidden="false" customHeight="true" outlineLevel="0" collapsed="false">
      <c r="A182" s="16" t="s">
        <v>724</v>
      </c>
      <c r="B182" s="16" t="s">
        <v>14</v>
      </c>
      <c r="C182" s="16" t="s">
        <v>357</v>
      </c>
      <c r="D182" s="16" t="s">
        <v>358</v>
      </c>
      <c r="E182" s="16"/>
      <c r="F182" s="16"/>
      <c r="G182" s="16" t="s">
        <v>359</v>
      </c>
      <c r="H182" s="21" t="s">
        <v>360</v>
      </c>
      <c r="I182" s="16" t="s">
        <v>725</v>
      </c>
      <c r="J182" s="16"/>
    </row>
    <row r="183" customFormat="false" ht="34.5" hidden="false" customHeight="true" outlineLevel="0" collapsed="false">
      <c r="A183" s="16" t="s">
        <v>726</v>
      </c>
      <c r="B183" s="16" t="s">
        <v>14</v>
      </c>
      <c r="C183" s="16" t="s">
        <v>357</v>
      </c>
      <c r="D183" s="16" t="s">
        <v>358</v>
      </c>
      <c r="E183" s="16"/>
      <c r="F183" s="16"/>
      <c r="G183" s="16" t="s">
        <v>359</v>
      </c>
      <c r="H183" s="21" t="s">
        <v>360</v>
      </c>
      <c r="I183" s="16" t="s">
        <v>727</v>
      </c>
      <c r="J183" s="16"/>
    </row>
    <row r="184" customFormat="false" ht="34.5" hidden="false" customHeight="true" outlineLevel="0" collapsed="false">
      <c r="A184" s="16" t="s">
        <v>728</v>
      </c>
      <c r="B184" s="16" t="s">
        <v>14</v>
      </c>
      <c r="C184" s="16" t="s">
        <v>357</v>
      </c>
      <c r="D184" s="16" t="s">
        <v>358</v>
      </c>
      <c r="E184" s="16"/>
      <c r="F184" s="16"/>
      <c r="G184" s="16" t="s">
        <v>359</v>
      </c>
      <c r="H184" s="21" t="s">
        <v>360</v>
      </c>
      <c r="I184" s="16" t="s">
        <v>729</v>
      </c>
      <c r="J184" s="16"/>
    </row>
    <row r="185" customFormat="false" ht="34.5" hidden="false" customHeight="true" outlineLevel="0" collapsed="false">
      <c r="A185" s="16" t="s">
        <v>730</v>
      </c>
      <c r="B185" s="16" t="s">
        <v>14</v>
      </c>
      <c r="C185" s="16" t="s">
        <v>357</v>
      </c>
      <c r="D185" s="16" t="s">
        <v>358</v>
      </c>
      <c r="E185" s="16"/>
      <c r="F185" s="16"/>
      <c r="G185" s="16" t="s">
        <v>359</v>
      </c>
      <c r="H185" s="21" t="s">
        <v>360</v>
      </c>
      <c r="I185" s="16" t="s">
        <v>731</v>
      </c>
      <c r="J185" s="16"/>
    </row>
    <row r="186" customFormat="false" ht="34.5" hidden="false" customHeight="true" outlineLevel="0" collapsed="false">
      <c r="A186" s="16" t="s">
        <v>732</v>
      </c>
      <c r="B186" s="16" t="s">
        <v>14</v>
      </c>
      <c r="C186" s="16" t="s">
        <v>357</v>
      </c>
      <c r="D186" s="16" t="s">
        <v>358</v>
      </c>
      <c r="E186" s="16"/>
      <c r="F186" s="16"/>
      <c r="G186" s="16" t="s">
        <v>359</v>
      </c>
      <c r="H186" s="21" t="s">
        <v>360</v>
      </c>
      <c r="I186" s="16" t="s">
        <v>733</v>
      </c>
      <c r="J186" s="16"/>
    </row>
    <row r="187" customFormat="false" ht="34.5" hidden="false" customHeight="true" outlineLevel="0" collapsed="false">
      <c r="A187" s="16" t="s">
        <v>734</v>
      </c>
      <c r="B187" s="16" t="s">
        <v>14</v>
      </c>
      <c r="C187" s="16" t="s">
        <v>357</v>
      </c>
      <c r="D187" s="16" t="s">
        <v>358</v>
      </c>
      <c r="E187" s="16"/>
      <c r="F187" s="16" t="s">
        <v>99</v>
      </c>
      <c r="G187" s="16" t="s">
        <v>303</v>
      </c>
      <c r="H187" s="22" t="s">
        <v>363</v>
      </c>
      <c r="I187" s="16" t="s">
        <v>735</v>
      </c>
      <c r="J187" s="16"/>
    </row>
    <row r="188" customFormat="false" ht="34.5" hidden="false" customHeight="true" outlineLevel="0" collapsed="false">
      <c r="A188" s="16" t="s">
        <v>736</v>
      </c>
      <c r="B188" s="16" t="s">
        <v>14</v>
      </c>
      <c r="C188" s="16" t="s">
        <v>357</v>
      </c>
      <c r="D188" s="16" t="s">
        <v>358</v>
      </c>
      <c r="E188" s="16"/>
      <c r="F188" s="16"/>
      <c r="G188" s="16" t="s">
        <v>359</v>
      </c>
      <c r="H188" s="21" t="s">
        <v>360</v>
      </c>
      <c r="I188" s="16" t="s">
        <v>737</v>
      </c>
      <c r="J188" s="16"/>
    </row>
    <row r="189" customFormat="false" ht="34.5" hidden="false" customHeight="true" outlineLevel="0" collapsed="false">
      <c r="A189" s="16" t="s">
        <v>738</v>
      </c>
      <c r="B189" s="16" t="s">
        <v>14</v>
      </c>
      <c r="C189" s="16" t="s">
        <v>357</v>
      </c>
      <c r="D189" s="16" t="s">
        <v>358</v>
      </c>
      <c r="E189" s="16"/>
      <c r="F189" s="16"/>
      <c r="G189" s="16" t="s">
        <v>359</v>
      </c>
      <c r="H189" s="21" t="s">
        <v>360</v>
      </c>
      <c r="I189" s="16" t="s">
        <v>739</v>
      </c>
      <c r="J189" s="16"/>
    </row>
    <row r="190" customFormat="false" ht="34.5" hidden="false" customHeight="true" outlineLevel="0" collapsed="false">
      <c r="A190" s="16" t="s">
        <v>740</v>
      </c>
      <c r="B190" s="16" t="s">
        <v>14</v>
      </c>
      <c r="C190" s="16" t="s">
        <v>357</v>
      </c>
      <c r="D190" s="16" t="s">
        <v>358</v>
      </c>
      <c r="E190" s="16"/>
      <c r="F190" s="16"/>
      <c r="G190" s="16" t="s">
        <v>359</v>
      </c>
      <c r="H190" s="21" t="s">
        <v>360</v>
      </c>
      <c r="I190" s="16" t="s">
        <v>741</v>
      </c>
      <c r="J190" s="16"/>
    </row>
    <row r="191" customFormat="false" ht="34.5" hidden="false" customHeight="true" outlineLevel="0" collapsed="false">
      <c r="A191" s="16" t="s">
        <v>742</v>
      </c>
      <c r="B191" s="16" t="s">
        <v>14</v>
      </c>
      <c r="C191" s="16" t="s">
        <v>357</v>
      </c>
      <c r="D191" s="16" t="s">
        <v>358</v>
      </c>
      <c r="E191" s="16"/>
      <c r="F191" s="16"/>
      <c r="G191" s="16" t="s">
        <v>359</v>
      </c>
      <c r="H191" s="21" t="s">
        <v>360</v>
      </c>
      <c r="I191" s="16" t="s">
        <v>743</v>
      </c>
      <c r="J191" s="16"/>
    </row>
    <row r="192" customFormat="false" ht="34.5" hidden="false" customHeight="true" outlineLevel="0" collapsed="false">
      <c r="A192" s="16" t="s">
        <v>744</v>
      </c>
      <c r="B192" s="16" t="s">
        <v>14</v>
      </c>
      <c r="C192" s="16" t="s">
        <v>357</v>
      </c>
      <c r="D192" s="16" t="s">
        <v>358</v>
      </c>
      <c r="E192" s="16"/>
      <c r="F192" s="16"/>
      <c r="G192" s="16" t="s">
        <v>359</v>
      </c>
      <c r="H192" s="21" t="s">
        <v>360</v>
      </c>
      <c r="I192" s="16" t="s">
        <v>745</v>
      </c>
      <c r="J192" s="16"/>
    </row>
    <row r="193" customFormat="false" ht="34.5" hidden="false" customHeight="true" outlineLevel="0" collapsed="false">
      <c r="A193" s="16" t="s">
        <v>746</v>
      </c>
      <c r="B193" s="16" t="s">
        <v>14</v>
      </c>
      <c r="C193" s="16" t="s">
        <v>357</v>
      </c>
      <c r="D193" s="16" t="s">
        <v>358</v>
      </c>
      <c r="E193" s="16"/>
      <c r="F193" s="16"/>
      <c r="G193" s="16" t="s">
        <v>359</v>
      </c>
      <c r="H193" s="21" t="s">
        <v>360</v>
      </c>
      <c r="I193" s="16" t="s">
        <v>747</v>
      </c>
      <c r="J193" s="16"/>
    </row>
    <row r="194" customFormat="false" ht="34.5" hidden="false" customHeight="true" outlineLevel="0" collapsed="false">
      <c r="A194" s="16" t="s">
        <v>748</v>
      </c>
      <c r="B194" s="16" t="s">
        <v>14</v>
      </c>
      <c r="C194" s="16" t="s">
        <v>357</v>
      </c>
      <c r="D194" s="16" t="s">
        <v>358</v>
      </c>
      <c r="E194" s="16"/>
      <c r="F194" s="16"/>
      <c r="G194" s="16" t="s">
        <v>359</v>
      </c>
      <c r="H194" s="21" t="s">
        <v>360</v>
      </c>
      <c r="I194" s="16" t="s">
        <v>749</v>
      </c>
      <c r="J194" s="16"/>
    </row>
    <row r="195" customFormat="false" ht="34.5" hidden="false" customHeight="true" outlineLevel="0" collapsed="false">
      <c r="A195" s="16" t="s">
        <v>750</v>
      </c>
      <c r="B195" s="16" t="s">
        <v>14</v>
      </c>
      <c r="C195" s="16" t="s">
        <v>357</v>
      </c>
      <c r="D195" s="16" t="s">
        <v>358</v>
      </c>
      <c r="E195" s="16"/>
      <c r="F195" s="16"/>
      <c r="G195" s="16" t="s">
        <v>359</v>
      </c>
      <c r="H195" s="21" t="s">
        <v>360</v>
      </c>
      <c r="I195" s="16" t="s">
        <v>751</v>
      </c>
      <c r="J195" s="16"/>
    </row>
    <row r="196" customFormat="false" ht="34.5" hidden="false" customHeight="true" outlineLevel="0" collapsed="false">
      <c r="A196" s="16" t="s">
        <v>752</v>
      </c>
      <c r="B196" s="16" t="s">
        <v>14</v>
      </c>
      <c r="C196" s="16" t="s">
        <v>357</v>
      </c>
      <c r="D196" s="16" t="s">
        <v>358</v>
      </c>
      <c r="E196" s="16"/>
      <c r="F196" s="16"/>
      <c r="G196" s="16" t="s">
        <v>359</v>
      </c>
      <c r="H196" s="21" t="s">
        <v>360</v>
      </c>
      <c r="I196" s="16" t="s">
        <v>753</v>
      </c>
      <c r="J196" s="16"/>
    </row>
    <row r="197" customFormat="false" ht="34.5" hidden="false" customHeight="true" outlineLevel="0" collapsed="false">
      <c r="A197" s="16" t="s">
        <v>754</v>
      </c>
      <c r="B197" s="16" t="s">
        <v>14</v>
      </c>
      <c r="C197" s="16" t="s">
        <v>357</v>
      </c>
      <c r="D197" s="16" t="s">
        <v>358</v>
      </c>
      <c r="E197" s="16"/>
      <c r="F197" s="16"/>
      <c r="G197" s="16" t="s">
        <v>359</v>
      </c>
      <c r="H197" s="21" t="s">
        <v>360</v>
      </c>
      <c r="I197" s="16" t="s">
        <v>755</v>
      </c>
      <c r="J197" s="16"/>
    </row>
    <row r="198" customFormat="false" ht="34.5" hidden="false" customHeight="true" outlineLevel="0" collapsed="false">
      <c r="A198" s="16" t="s">
        <v>756</v>
      </c>
      <c r="B198" s="16" t="s">
        <v>14</v>
      </c>
      <c r="C198" s="16" t="s">
        <v>357</v>
      </c>
      <c r="D198" s="16" t="s">
        <v>358</v>
      </c>
      <c r="E198" s="16"/>
      <c r="F198" s="16"/>
      <c r="G198" s="16" t="s">
        <v>359</v>
      </c>
      <c r="H198" s="21" t="s">
        <v>360</v>
      </c>
      <c r="I198" s="16" t="s">
        <v>757</v>
      </c>
      <c r="J198" s="16"/>
    </row>
    <row r="199" customFormat="false" ht="34.5" hidden="false" customHeight="true" outlineLevel="0" collapsed="false">
      <c r="A199" s="16" t="s">
        <v>758</v>
      </c>
      <c r="B199" s="16" t="s">
        <v>14</v>
      </c>
      <c r="C199" s="16" t="s">
        <v>357</v>
      </c>
      <c r="D199" s="16" t="s">
        <v>358</v>
      </c>
      <c r="E199" s="16"/>
      <c r="F199" s="16" t="s">
        <v>89</v>
      </c>
      <c r="G199" s="16" t="s">
        <v>295</v>
      </c>
      <c r="H199" s="22" t="s">
        <v>363</v>
      </c>
      <c r="I199" s="16" t="s">
        <v>759</v>
      </c>
      <c r="J199" s="16"/>
    </row>
    <row r="200" customFormat="false" ht="34.5" hidden="false" customHeight="true" outlineLevel="0" collapsed="false">
      <c r="A200" s="16" t="s">
        <v>760</v>
      </c>
      <c r="B200" s="16" t="s">
        <v>14</v>
      </c>
      <c r="C200" s="16" t="s">
        <v>357</v>
      </c>
      <c r="D200" s="16" t="s">
        <v>358</v>
      </c>
      <c r="E200" s="16"/>
      <c r="F200" s="16"/>
      <c r="G200" s="16" t="s">
        <v>359</v>
      </c>
      <c r="H200" s="21" t="s">
        <v>360</v>
      </c>
      <c r="I200" s="16" t="s">
        <v>761</v>
      </c>
      <c r="J200" s="16"/>
    </row>
    <row r="201" customFormat="false" ht="34.5" hidden="false" customHeight="true" outlineLevel="0" collapsed="false">
      <c r="A201" s="16" t="s">
        <v>762</v>
      </c>
      <c r="B201" s="16" t="s">
        <v>14</v>
      </c>
      <c r="C201" s="16" t="s">
        <v>357</v>
      </c>
      <c r="D201" s="16" t="s">
        <v>358</v>
      </c>
      <c r="E201" s="16"/>
      <c r="F201" s="16" t="s">
        <v>145</v>
      </c>
      <c r="G201" s="16" t="s">
        <v>339</v>
      </c>
      <c r="H201" s="22" t="s">
        <v>363</v>
      </c>
      <c r="I201" s="16" t="s">
        <v>763</v>
      </c>
      <c r="J201" s="16"/>
    </row>
    <row r="202" customFormat="false" ht="34.5" hidden="false" customHeight="true" outlineLevel="0" collapsed="false">
      <c r="A202" s="16" t="s">
        <v>764</v>
      </c>
      <c r="B202" s="16" t="s">
        <v>10</v>
      </c>
      <c r="C202" s="16" t="s">
        <v>67</v>
      </c>
      <c r="D202" s="16" t="s">
        <v>765</v>
      </c>
      <c r="E202" s="16" t="s">
        <v>766</v>
      </c>
      <c r="F202" s="16"/>
      <c r="G202" s="16" t="s">
        <v>359</v>
      </c>
      <c r="H202" s="21" t="s">
        <v>360</v>
      </c>
      <c r="I202" s="16" t="s">
        <v>767</v>
      </c>
      <c r="J202" s="16"/>
    </row>
    <row r="203" customFormat="false" ht="45.75" hidden="false" customHeight="true" outlineLevel="0" collapsed="false">
      <c r="A203" s="16" t="s">
        <v>768</v>
      </c>
      <c r="B203" s="16" t="s">
        <v>10</v>
      </c>
      <c r="C203" s="16" t="s">
        <v>67</v>
      </c>
      <c r="D203" s="16" t="s">
        <v>765</v>
      </c>
      <c r="E203" s="16" t="s">
        <v>769</v>
      </c>
      <c r="F203" s="16"/>
      <c r="G203" s="16" t="s">
        <v>359</v>
      </c>
      <c r="H203" s="21" t="s">
        <v>360</v>
      </c>
      <c r="I203" s="16" t="s">
        <v>770</v>
      </c>
      <c r="J203" s="16"/>
    </row>
    <row r="204" customFormat="false" ht="34.5" hidden="false" customHeight="true" outlineLevel="0" collapsed="false">
      <c r="A204" s="16" t="s">
        <v>771</v>
      </c>
      <c r="B204" s="16" t="s">
        <v>10</v>
      </c>
      <c r="C204" s="16" t="s">
        <v>67</v>
      </c>
      <c r="D204" s="16" t="s">
        <v>765</v>
      </c>
      <c r="E204" s="16" t="s">
        <v>772</v>
      </c>
      <c r="F204" s="16"/>
      <c r="G204" s="16" t="s">
        <v>359</v>
      </c>
      <c r="H204" s="21" t="s">
        <v>360</v>
      </c>
      <c r="I204" s="16" t="s">
        <v>773</v>
      </c>
      <c r="J204" s="16"/>
    </row>
    <row r="205" customFormat="false" ht="45.75" hidden="false" customHeight="true" outlineLevel="0" collapsed="false">
      <c r="A205" s="16" t="s">
        <v>774</v>
      </c>
      <c r="B205" s="16" t="s">
        <v>10</v>
      </c>
      <c r="C205" s="16" t="s">
        <v>67</v>
      </c>
      <c r="D205" s="16" t="s">
        <v>765</v>
      </c>
      <c r="E205" s="16" t="s">
        <v>775</v>
      </c>
      <c r="F205" s="16" t="s">
        <v>110</v>
      </c>
      <c r="G205" s="16" t="s">
        <v>111</v>
      </c>
      <c r="H205" s="22" t="s">
        <v>363</v>
      </c>
      <c r="I205" s="16" t="s">
        <v>776</v>
      </c>
      <c r="J205" s="16"/>
    </row>
    <row r="206" customFormat="false" ht="45.75" hidden="false" customHeight="true" outlineLevel="0" collapsed="false">
      <c r="A206" s="16" t="s">
        <v>777</v>
      </c>
      <c r="B206" s="16" t="s">
        <v>10</v>
      </c>
      <c r="C206" s="16" t="s">
        <v>67</v>
      </c>
      <c r="D206" s="16" t="s">
        <v>765</v>
      </c>
      <c r="E206" s="16" t="s">
        <v>778</v>
      </c>
      <c r="F206" s="16" t="s">
        <v>130</v>
      </c>
      <c r="G206" s="16" t="s">
        <v>131</v>
      </c>
      <c r="H206" s="22" t="s">
        <v>363</v>
      </c>
      <c r="I206" s="16" t="s">
        <v>779</v>
      </c>
      <c r="J206" s="16"/>
    </row>
    <row r="207" customFormat="false" ht="34.5" hidden="false" customHeight="true" outlineLevel="0" collapsed="false">
      <c r="A207" s="16" t="s">
        <v>780</v>
      </c>
      <c r="B207" s="16" t="s">
        <v>10</v>
      </c>
      <c r="C207" s="16" t="s">
        <v>67</v>
      </c>
      <c r="D207" s="16" t="s">
        <v>765</v>
      </c>
      <c r="E207" s="16" t="s">
        <v>781</v>
      </c>
      <c r="F207" s="16"/>
      <c r="G207" s="16" t="s">
        <v>359</v>
      </c>
      <c r="H207" s="21" t="s">
        <v>360</v>
      </c>
      <c r="I207" s="16" t="s">
        <v>782</v>
      </c>
      <c r="J207" s="16"/>
    </row>
    <row r="208" customFormat="false" ht="45.75" hidden="false" customHeight="true" outlineLevel="0" collapsed="false">
      <c r="A208" s="16" t="s">
        <v>783</v>
      </c>
      <c r="B208" s="16" t="s">
        <v>10</v>
      </c>
      <c r="C208" s="16" t="s">
        <v>67</v>
      </c>
      <c r="D208" s="16" t="s">
        <v>765</v>
      </c>
      <c r="E208" s="16" t="s">
        <v>784</v>
      </c>
      <c r="F208" s="16" t="s">
        <v>130</v>
      </c>
      <c r="G208" s="16" t="s">
        <v>131</v>
      </c>
      <c r="H208" s="22" t="s">
        <v>363</v>
      </c>
      <c r="I208" s="16" t="s">
        <v>785</v>
      </c>
      <c r="J208" s="16"/>
    </row>
    <row r="209" customFormat="false" ht="34.5" hidden="false" customHeight="true" outlineLevel="0" collapsed="false">
      <c r="A209" s="16" t="s">
        <v>786</v>
      </c>
      <c r="B209" s="16" t="s">
        <v>10</v>
      </c>
      <c r="C209" s="16" t="s">
        <v>67</v>
      </c>
      <c r="D209" s="16" t="s">
        <v>765</v>
      </c>
      <c r="E209" s="16" t="s">
        <v>787</v>
      </c>
      <c r="F209" s="16" t="s">
        <v>110</v>
      </c>
      <c r="G209" s="16" t="s">
        <v>111</v>
      </c>
      <c r="H209" s="22" t="s">
        <v>363</v>
      </c>
      <c r="I209" s="16" t="s">
        <v>788</v>
      </c>
      <c r="J209" s="16"/>
    </row>
    <row r="210" customFormat="false" ht="45.75" hidden="false" customHeight="true" outlineLevel="0" collapsed="false">
      <c r="A210" s="16" t="s">
        <v>789</v>
      </c>
      <c r="B210" s="16" t="s">
        <v>10</v>
      </c>
      <c r="C210" s="16" t="s">
        <v>67</v>
      </c>
      <c r="D210" s="16" t="s">
        <v>765</v>
      </c>
      <c r="E210" s="16" t="s">
        <v>790</v>
      </c>
      <c r="F210" s="16" t="s">
        <v>94</v>
      </c>
      <c r="G210" s="16" t="s">
        <v>95</v>
      </c>
      <c r="H210" s="22" t="s">
        <v>363</v>
      </c>
      <c r="I210" s="16" t="s">
        <v>791</v>
      </c>
      <c r="J210" s="16"/>
    </row>
    <row r="211" customFormat="false" ht="45.75" hidden="false" customHeight="true" outlineLevel="0" collapsed="false">
      <c r="A211" s="16" t="s">
        <v>792</v>
      </c>
      <c r="B211" s="16" t="s">
        <v>10</v>
      </c>
      <c r="C211" s="16" t="s">
        <v>67</v>
      </c>
      <c r="D211" s="16" t="s">
        <v>765</v>
      </c>
      <c r="E211" s="16" t="s">
        <v>793</v>
      </c>
      <c r="F211" s="16"/>
      <c r="G211" s="16" t="s">
        <v>359</v>
      </c>
      <c r="H211" s="21" t="s">
        <v>360</v>
      </c>
      <c r="I211" s="16" t="s">
        <v>794</v>
      </c>
      <c r="J211" s="16"/>
    </row>
    <row r="212" customFormat="false" ht="34.5" hidden="false" customHeight="true" outlineLevel="0" collapsed="false">
      <c r="A212" s="16" t="s">
        <v>795</v>
      </c>
      <c r="B212" s="16" t="s">
        <v>10</v>
      </c>
      <c r="C212" s="16" t="s">
        <v>67</v>
      </c>
      <c r="D212" s="16" t="s">
        <v>765</v>
      </c>
      <c r="E212" s="16" t="s">
        <v>796</v>
      </c>
      <c r="F212" s="16"/>
      <c r="G212" s="16" t="s">
        <v>359</v>
      </c>
      <c r="H212" s="21" t="s">
        <v>360</v>
      </c>
      <c r="I212" s="16" t="s">
        <v>797</v>
      </c>
      <c r="J212" s="16"/>
    </row>
    <row r="213" customFormat="false" ht="45.75" hidden="false" customHeight="true" outlineLevel="0" collapsed="false">
      <c r="A213" s="16" t="s">
        <v>798</v>
      </c>
      <c r="B213" s="16" t="s">
        <v>10</v>
      </c>
      <c r="C213" s="16" t="s">
        <v>67</v>
      </c>
      <c r="D213" s="16" t="s">
        <v>765</v>
      </c>
      <c r="E213" s="16" t="s">
        <v>799</v>
      </c>
      <c r="F213" s="16" t="s">
        <v>140</v>
      </c>
      <c r="G213" s="16" t="s">
        <v>141</v>
      </c>
      <c r="H213" s="22" t="s">
        <v>363</v>
      </c>
      <c r="I213" s="16" t="s">
        <v>800</v>
      </c>
      <c r="J213" s="16"/>
    </row>
    <row r="214" customFormat="false" ht="34.5" hidden="false" customHeight="true" outlineLevel="0" collapsed="false">
      <c r="A214" s="16" t="s">
        <v>801</v>
      </c>
      <c r="B214" s="16" t="s">
        <v>10</v>
      </c>
      <c r="C214" s="16" t="s">
        <v>67</v>
      </c>
      <c r="D214" s="16" t="s">
        <v>765</v>
      </c>
      <c r="E214" s="16" t="s">
        <v>802</v>
      </c>
      <c r="F214" s="16"/>
      <c r="G214" s="16" t="s">
        <v>359</v>
      </c>
      <c r="H214" s="21" t="s">
        <v>360</v>
      </c>
      <c r="I214" s="16" t="s">
        <v>803</v>
      </c>
      <c r="J214" s="16"/>
    </row>
    <row r="215" customFormat="false" ht="34.5" hidden="false" customHeight="true" outlineLevel="0" collapsed="false">
      <c r="A215" s="16" t="s">
        <v>804</v>
      </c>
      <c r="B215" s="16" t="s">
        <v>11</v>
      </c>
      <c r="C215" s="16" t="s">
        <v>67</v>
      </c>
      <c r="D215" s="16" t="s">
        <v>765</v>
      </c>
      <c r="E215" s="16" t="s">
        <v>805</v>
      </c>
      <c r="F215" s="16" t="s">
        <v>115</v>
      </c>
      <c r="G215" s="16" t="s">
        <v>187</v>
      </c>
      <c r="H215" s="22" t="s">
        <v>363</v>
      </c>
      <c r="I215" s="16" t="s">
        <v>806</v>
      </c>
      <c r="J215" s="16"/>
    </row>
    <row r="216" customFormat="false" ht="34.5" hidden="false" customHeight="true" outlineLevel="0" collapsed="false">
      <c r="A216" s="16" t="s">
        <v>807</v>
      </c>
      <c r="B216" s="16" t="s">
        <v>11</v>
      </c>
      <c r="C216" s="16" t="s">
        <v>67</v>
      </c>
      <c r="D216" s="16" t="s">
        <v>765</v>
      </c>
      <c r="E216" s="16" t="s">
        <v>808</v>
      </c>
      <c r="F216" s="16" t="s">
        <v>115</v>
      </c>
      <c r="G216" s="16" t="s">
        <v>187</v>
      </c>
      <c r="H216" s="22" t="s">
        <v>363</v>
      </c>
      <c r="I216" s="16" t="s">
        <v>809</v>
      </c>
      <c r="J216" s="16"/>
    </row>
    <row r="217" customFormat="false" ht="34.5" hidden="false" customHeight="true" outlineLevel="0" collapsed="false">
      <c r="A217" s="16" t="s">
        <v>810</v>
      </c>
      <c r="B217" s="16" t="s">
        <v>11</v>
      </c>
      <c r="C217" s="16" t="s">
        <v>67</v>
      </c>
      <c r="D217" s="16" t="s">
        <v>765</v>
      </c>
      <c r="E217" s="16" t="s">
        <v>811</v>
      </c>
      <c r="F217" s="16" t="s">
        <v>120</v>
      </c>
      <c r="G217" s="16" t="s">
        <v>191</v>
      </c>
      <c r="H217" s="22" t="s">
        <v>363</v>
      </c>
      <c r="I217" s="16" t="s">
        <v>812</v>
      </c>
      <c r="J217" s="16"/>
    </row>
    <row r="218" customFormat="false" ht="34.5" hidden="false" customHeight="true" outlineLevel="0" collapsed="false">
      <c r="A218" s="16" t="s">
        <v>813</v>
      </c>
      <c r="B218" s="16" t="s">
        <v>11</v>
      </c>
      <c r="C218" s="16" t="s">
        <v>67</v>
      </c>
      <c r="D218" s="16" t="s">
        <v>765</v>
      </c>
      <c r="E218" s="16" t="s">
        <v>814</v>
      </c>
      <c r="F218" s="16" t="s">
        <v>84</v>
      </c>
      <c r="G218" s="16" t="s">
        <v>163</v>
      </c>
      <c r="H218" s="22" t="s">
        <v>363</v>
      </c>
      <c r="I218" s="16" t="s">
        <v>815</v>
      </c>
      <c r="J218" s="16"/>
    </row>
    <row r="219" customFormat="false" ht="34.5" hidden="false" customHeight="true" outlineLevel="0" collapsed="false">
      <c r="A219" s="16" t="s">
        <v>816</v>
      </c>
      <c r="B219" s="16" t="s">
        <v>11</v>
      </c>
      <c r="C219" s="16" t="s">
        <v>67</v>
      </c>
      <c r="D219" s="16" t="s">
        <v>765</v>
      </c>
      <c r="E219" s="16" t="s">
        <v>817</v>
      </c>
      <c r="F219" s="16" t="s">
        <v>84</v>
      </c>
      <c r="G219" s="16" t="s">
        <v>163</v>
      </c>
      <c r="H219" s="22" t="s">
        <v>363</v>
      </c>
      <c r="I219" s="16" t="s">
        <v>818</v>
      </c>
      <c r="J219" s="16"/>
    </row>
    <row r="220" customFormat="false" ht="34.5" hidden="false" customHeight="true" outlineLevel="0" collapsed="false">
      <c r="A220" s="16" t="s">
        <v>819</v>
      </c>
      <c r="B220" s="16" t="s">
        <v>11</v>
      </c>
      <c r="C220" s="16" t="s">
        <v>67</v>
      </c>
      <c r="D220" s="16" t="s">
        <v>765</v>
      </c>
      <c r="E220" s="16" t="s">
        <v>820</v>
      </c>
      <c r="F220" s="16" t="s">
        <v>140</v>
      </c>
      <c r="G220" s="16" t="s">
        <v>207</v>
      </c>
      <c r="H220" s="22" t="s">
        <v>363</v>
      </c>
      <c r="I220" s="16" t="s">
        <v>821</v>
      </c>
      <c r="J220" s="16"/>
    </row>
    <row r="221" customFormat="false" ht="34.5" hidden="false" customHeight="true" outlineLevel="0" collapsed="false">
      <c r="A221" s="16" t="s">
        <v>822</v>
      </c>
      <c r="B221" s="16" t="s">
        <v>11</v>
      </c>
      <c r="C221" s="16" t="s">
        <v>67</v>
      </c>
      <c r="D221" s="16" t="s">
        <v>765</v>
      </c>
      <c r="E221" s="16" t="s">
        <v>823</v>
      </c>
      <c r="F221" s="16" t="s">
        <v>110</v>
      </c>
      <c r="G221" s="16" t="s">
        <v>183</v>
      </c>
      <c r="H221" s="22" t="s">
        <v>363</v>
      </c>
      <c r="I221" s="16" t="s">
        <v>824</v>
      </c>
      <c r="J221" s="16"/>
    </row>
    <row r="222" customFormat="false" ht="34.5" hidden="false" customHeight="true" outlineLevel="0" collapsed="false">
      <c r="A222" s="16" t="s">
        <v>825</v>
      </c>
      <c r="B222" s="16" t="s">
        <v>11</v>
      </c>
      <c r="C222" s="16" t="s">
        <v>67</v>
      </c>
      <c r="D222" s="16" t="s">
        <v>765</v>
      </c>
      <c r="E222" s="16" t="s">
        <v>826</v>
      </c>
      <c r="F222" s="16" t="s">
        <v>115</v>
      </c>
      <c r="G222" s="16" t="s">
        <v>187</v>
      </c>
      <c r="H222" s="22" t="s">
        <v>363</v>
      </c>
      <c r="I222" s="16" t="s">
        <v>827</v>
      </c>
      <c r="J222" s="16"/>
    </row>
    <row r="223" customFormat="false" ht="34.5" hidden="false" customHeight="true" outlineLevel="0" collapsed="false">
      <c r="A223" s="16" t="s">
        <v>828</v>
      </c>
      <c r="B223" s="16" t="s">
        <v>11</v>
      </c>
      <c r="C223" s="16" t="s">
        <v>67</v>
      </c>
      <c r="D223" s="16" t="s">
        <v>765</v>
      </c>
      <c r="E223" s="16" t="s">
        <v>829</v>
      </c>
      <c r="F223" s="16"/>
      <c r="G223" s="16" t="s">
        <v>359</v>
      </c>
      <c r="H223" s="21" t="s">
        <v>360</v>
      </c>
      <c r="I223" s="16" t="s">
        <v>830</v>
      </c>
      <c r="J223" s="16"/>
    </row>
    <row r="224" customFormat="false" ht="34.5" hidden="false" customHeight="true" outlineLevel="0" collapsed="false">
      <c r="A224" s="16" t="s">
        <v>831</v>
      </c>
      <c r="B224" s="16" t="s">
        <v>11</v>
      </c>
      <c r="C224" s="16" t="s">
        <v>67</v>
      </c>
      <c r="D224" s="16" t="s">
        <v>765</v>
      </c>
      <c r="E224" s="16" t="s">
        <v>832</v>
      </c>
      <c r="F224" s="16" t="s">
        <v>99</v>
      </c>
      <c r="G224" s="16" t="s">
        <v>175</v>
      </c>
      <c r="H224" s="22" t="s">
        <v>363</v>
      </c>
      <c r="I224" s="16" t="s">
        <v>833</v>
      </c>
      <c r="J224" s="16"/>
    </row>
    <row r="225" customFormat="false" ht="34.5" hidden="false" customHeight="true" outlineLevel="0" collapsed="false">
      <c r="A225" s="16" t="s">
        <v>834</v>
      </c>
      <c r="B225" s="16" t="s">
        <v>11</v>
      </c>
      <c r="C225" s="16" t="s">
        <v>67</v>
      </c>
      <c r="D225" s="16" t="s">
        <v>765</v>
      </c>
      <c r="E225" s="16" t="s">
        <v>835</v>
      </c>
      <c r="F225" s="16"/>
      <c r="G225" s="16" t="s">
        <v>359</v>
      </c>
      <c r="H225" s="21" t="s">
        <v>360</v>
      </c>
      <c r="I225" s="16" t="s">
        <v>836</v>
      </c>
      <c r="J225" s="16"/>
    </row>
    <row r="226" customFormat="false" ht="34.5" hidden="false" customHeight="true" outlineLevel="0" collapsed="false">
      <c r="A226" s="16" t="s">
        <v>837</v>
      </c>
      <c r="B226" s="16" t="s">
        <v>11</v>
      </c>
      <c r="C226" s="16" t="s">
        <v>67</v>
      </c>
      <c r="D226" s="16" t="s">
        <v>765</v>
      </c>
      <c r="E226" s="16" t="s">
        <v>838</v>
      </c>
      <c r="F226" s="16"/>
      <c r="G226" s="16" t="s">
        <v>359</v>
      </c>
      <c r="H226" s="21" t="s">
        <v>360</v>
      </c>
      <c r="I226" s="16" t="s">
        <v>839</v>
      </c>
      <c r="J226" s="16"/>
    </row>
    <row r="227" customFormat="false" ht="45.75" hidden="false" customHeight="true" outlineLevel="0" collapsed="false">
      <c r="A227" s="16" t="s">
        <v>840</v>
      </c>
      <c r="B227" s="16" t="s">
        <v>11</v>
      </c>
      <c r="C227" s="16" t="s">
        <v>67</v>
      </c>
      <c r="D227" s="16" t="s">
        <v>765</v>
      </c>
      <c r="E227" s="16" t="s">
        <v>841</v>
      </c>
      <c r="F227" s="16" t="s">
        <v>115</v>
      </c>
      <c r="G227" s="16" t="s">
        <v>187</v>
      </c>
      <c r="H227" s="22" t="s">
        <v>363</v>
      </c>
      <c r="I227" s="16" t="s">
        <v>842</v>
      </c>
      <c r="J227" s="16"/>
    </row>
    <row r="228" customFormat="false" ht="34.5" hidden="false" customHeight="true" outlineLevel="0" collapsed="false">
      <c r="A228" s="16" t="s">
        <v>843</v>
      </c>
      <c r="B228" s="16" t="s">
        <v>564</v>
      </c>
      <c r="C228" s="16" t="s">
        <v>67</v>
      </c>
      <c r="D228" s="16" t="s">
        <v>765</v>
      </c>
      <c r="E228" s="16" t="s">
        <v>844</v>
      </c>
      <c r="F228" s="16"/>
      <c r="G228" s="16" t="s">
        <v>359</v>
      </c>
      <c r="H228" s="21" t="s">
        <v>360</v>
      </c>
      <c r="I228" s="16" t="s">
        <v>845</v>
      </c>
      <c r="J228" s="16"/>
    </row>
    <row r="229" customFormat="false" ht="34.5" hidden="false" customHeight="true" outlineLevel="0" collapsed="false">
      <c r="A229" s="16" t="s">
        <v>846</v>
      </c>
      <c r="B229" s="16" t="s">
        <v>564</v>
      </c>
      <c r="C229" s="16" t="s">
        <v>67</v>
      </c>
      <c r="D229" s="16" t="s">
        <v>765</v>
      </c>
      <c r="E229" s="16" t="s">
        <v>847</v>
      </c>
      <c r="F229" s="16" t="s">
        <v>79</v>
      </c>
      <c r="G229" s="16" t="s">
        <v>255</v>
      </c>
      <c r="H229" s="22" t="s">
        <v>363</v>
      </c>
      <c r="I229" s="16" t="s">
        <v>848</v>
      </c>
      <c r="J229" s="16"/>
    </row>
    <row r="230" customFormat="false" ht="34.5" hidden="false" customHeight="true" outlineLevel="0" collapsed="false">
      <c r="A230" s="16" t="s">
        <v>849</v>
      </c>
      <c r="B230" s="16" t="s">
        <v>564</v>
      </c>
      <c r="C230" s="16" t="s">
        <v>67</v>
      </c>
      <c r="D230" s="16" t="s">
        <v>765</v>
      </c>
      <c r="E230" s="16" t="s">
        <v>850</v>
      </c>
      <c r="F230" s="16"/>
      <c r="G230" s="16" t="s">
        <v>359</v>
      </c>
      <c r="H230" s="21" t="s">
        <v>360</v>
      </c>
      <c r="I230" s="16" t="s">
        <v>851</v>
      </c>
      <c r="J230" s="16"/>
    </row>
    <row r="231" customFormat="false" ht="34.5" hidden="false" customHeight="true" outlineLevel="0" collapsed="false">
      <c r="A231" s="16" t="s">
        <v>852</v>
      </c>
      <c r="B231" s="16" t="s">
        <v>564</v>
      </c>
      <c r="C231" s="16" t="s">
        <v>67</v>
      </c>
      <c r="D231" s="16" t="s">
        <v>765</v>
      </c>
      <c r="E231" s="16" t="s">
        <v>853</v>
      </c>
      <c r="F231" s="16"/>
      <c r="G231" s="16" t="s">
        <v>359</v>
      </c>
      <c r="H231" s="21" t="s">
        <v>360</v>
      </c>
      <c r="I231" s="16" t="s">
        <v>854</v>
      </c>
      <c r="J231" s="16"/>
    </row>
    <row r="232" customFormat="false" ht="34.5" hidden="false" customHeight="true" outlineLevel="0" collapsed="false">
      <c r="A232" s="16" t="s">
        <v>855</v>
      </c>
      <c r="B232" s="16" t="s">
        <v>564</v>
      </c>
      <c r="C232" s="16" t="s">
        <v>67</v>
      </c>
      <c r="D232" s="16" t="s">
        <v>765</v>
      </c>
      <c r="E232" s="16" t="s">
        <v>856</v>
      </c>
      <c r="F232" s="16"/>
      <c r="G232" s="16" t="s">
        <v>359</v>
      </c>
      <c r="H232" s="21" t="s">
        <v>360</v>
      </c>
      <c r="I232" s="16" t="s">
        <v>857</v>
      </c>
      <c r="J232" s="16"/>
    </row>
    <row r="233" customFormat="false" ht="34.5" hidden="false" customHeight="true" outlineLevel="0" collapsed="false">
      <c r="A233" s="16" t="s">
        <v>858</v>
      </c>
      <c r="B233" s="16" t="s">
        <v>564</v>
      </c>
      <c r="C233" s="16" t="s">
        <v>67</v>
      </c>
      <c r="D233" s="16" t="s">
        <v>765</v>
      </c>
      <c r="E233" s="16" t="s">
        <v>859</v>
      </c>
      <c r="F233" s="16" t="s">
        <v>89</v>
      </c>
      <c r="G233" s="16" t="s">
        <v>263</v>
      </c>
      <c r="H233" s="22" t="s">
        <v>363</v>
      </c>
      <c r="I233" s="16" t="s">
        <v>860</v>
      </c>
      <c r="J233" s="16"/>
    </row>
    <row r="234" customFormat="false" ht="34.5" hidden="false" customHeight="true" outlineLevel="0" collapsed="false">
      <c r="A234" s="16" t="s">
        <v>861</v>
      </c>
      <c r="B234" s="16" t="s">
        <v>564</v>
      </c>
      <c r="C234" s="16" t="s">
        <v>67</v>
      </c>
      <c r="D234" s="16" t="s">
        <v>765</v>
      </c>
      <c r="E234" s="16" t="s">
        <v>862</v>
      </c>
      <c r="F234" s="16"/>
      <c r="G234" s="16" t="s">
        <v>359</v>
      </c>
      <c r="H234" s="21" t="s">
        <v>360</v>
      </c>
      <c r="I234" s="16" t="s">
        <v>863</v>
      </c>
      <c r="J234" s="16"/>
    </row>
    <row r="235" customFormat="false" ht="34.5" hidden="false" customHeight="true" outlineLevel="0" collapsed="false">
      <c r="A235" s="16" t="s">
        <v>864</v>
      </c>
      <c r="B235" s="16" t="s">
        <v>564</v>
      </c>
      <c r="C235" s="16" t="s">
        <v>67</v>
      </c>
      <c r="D235" s="16" t="s">
        <v>765</v>
      </c>
      <c r="E235" s="16" t="s">
        <v>865</v>
      </c>
      <c r="F235" s="16"/>
      <c r="G235" s="16" t="s">
        <v>359</v>
      </c>
      <c r="H235" s="21" t="s">
        <v>360</v>
      </c>
      <c r="I235" s="16" t="s">
        <v>866</v>
      </c>
      <c r="J235" s="16"/>
    </row>
    <row r="236" customFormat="false" ht="34.5" hidden="false" customHeight="true" outlineLevel="0" collapsed="false">
      <c r="A236" s="16" t="s">
        <v>867</v>
      </c>
      <c r="B236" s="16" t="s">
        <v>564</v>
      </c>
      <c r="C236" s="16" t="s">
        <v>67</v>
      </c>
      <c r="D236" s="16" t="s">
        <v>765</v>
      </c>
      <c r="E236" s="16" t="s">
        <v>868</v>
      </c>
      <c r="F236" s="16" t="s">
        <v>99</v>
      </c>
      <c r="G236" s="16" t="s">
        <v>239</v>
      </c>
      <c r="H236" s="24" t="s">
        <v>553</v>
      </c>
      <c r="I236" s="16" t="s">
        <v>869</v>
      </c>
      <c r="J236" s="16"/>
    </row>
    <row r="237" customFormat="false" ht="34.5" hidden="false" customHeight="true" outlineLevel="0" collapsed="false">
      <c r="A237" s="16" t="s">
        <v>870</v>
      </c>
      <c r="B237" s="16" t="s">
        <v>564</v>
      </c>
      <c r="C237" s="16" t="s">
        <v>67</v>
      </c>
      <c r="D237" s="16" t="s">
        <v>765</v>
      </c>
      <c r="E237" s="16" t="s">
        <v>871</v>
      </c>
      <c r="F237" s="16"/>
      <c r="G237" s="16" t="s">
        <v>359</v>
      </c>
      <c r="H237" s="21" t="s">
        <v>360</v>
      </c>
      <c r="I237" s="16" t="s">
        <v>872</v>
      </c>
      <c r="J237" s="16"/>
    </row>
    <row r="238" customFormat="false" ht="34.5" hidden="false" customHeight="true" outlineLevel="0" collapsed="false">
      <c r="A238" s="16" t="s">
        <v>873</v>
      </c>
      <c r="B238" s="16" t="s">
        <v>14</v>
      </c>
      <c r="C238" s="16" t="s">
        <v>67</v>
      </c>
      <c r="D238" s="16" t="s">
        <v>765</v>
      </c>
      <c r="E238" s="16" t="s">
        <v>874</v>
      </c>
      <c r="F238" s="16"/>
      <c r="G238" s="16" t="s">
        <v>359</v>
      </c>
      <c r="H238" s="21" t="s">
        <v>360</v>
      </c>
      <c r="I238" s="16" t="s">
        <v>875</v>
      </c>
      <c r="J238" s="16"/>
    </row>
    <row r="239" customFormat="false" ht="34.5" hidden="false" customHeight="true" outlineLevel="0" collapsed="false">
      <c r="A239" s="16" t="s">
        <v>876</v>
      </c>
      <c r="B239" s="16" t="s">
        <v>14</v>
      </c>
      <c r="C239" s="16" t="s">
        <v>67</v>
      </c>
      <c r="D239" s="16" t="s">
        <v>765</v>
      </c>
      <c r="E239" s="16" t="s">
        <v>877</v>
      </c>
      <c r="F239" s="16"/>
      <c r="G239" s="16" t="s">
        <v>359</v>
      </c>
      <c r="H239" s="21" t="s">
        <v>360</v>
      </c>
      <c r="I239" s="16" t="s">
        <v>878</v>
      </c>
      <c r="J239" s="16"/>
    </row>
    <row r="240" customFormat="false" ht="34.5" hidden="false" customHeight="true" outlineLevel="0" collapsed="false">
      <c r="A240" s="16" t="s">
        <v>879</v>
      </c>
      <c r="B240" s="16" t="s">
        <v>14</v>
      </c>
      <c r="C240" s="16" t="s">
        <v>67</v>
      </c>
      <c r="D240" s="16" t="s">
        <v>765</v>
      </c>
      <c r="E240" s="16" t="s">
        <v>880</v>
      </c>
      <c r="F240" s="16"/>
      <c r="G240" s="16" t="s">
        <v>359</v>
      </c>
      <c r="H240" s="21" t="s">
        <v>360</v>
      </c>
      <c r="I240" s="16" t="s">
        <v>881</v>
      </c>
      <c r="J240" s="16"/>
    </row>
    <row r="241" customFormat="false" ht="45.75" hidden="false" customHeight="true" outlineLevel="0" collapsed="false">
      <c r="A241" s="16" t="s">
        <v>882</v>
      </c>
      <c r="B241" s="16" t="s">
        <v>14</v>
      </c>
      <c r="C241" s="16" t="s">
        <v>67</v>
      </c>
      <c r="D241" s="16" t="s">
        <v>765</v>
      </c>
      <c r="E241" s="16" t="s">
        <v>883</v>
      </c>
      <c r="F241" s="16" t="s">
        <v>145</v>
      </c>
      <c r="G241" s="16" t="s">
        <v>339</v>
      </c>
      <c r="H241" s="22" t="s">
        <v>363</v>
      </c>
      <c r="I241" s="16" t="s">
        <v>884</v>
      </c>
      <c r="J241" s="16"/>
    </row>
    <row r="242" customFormat="false" ht="34.5" hidden="false" customHeight="true" outlineLevel="0" collapsed="false">
      <c r="A242" s="16" t="s">
        <v>885</v>
      </c>
      <c r="B242" s="16" t="s">
        <v>14</v>
      </c>
      <c r="C242" s="16" t="s">
        <v>67</v>
      </c>
      <c r="D242" s="16" t="s">
        <v>765</v>
      </c>
      <c r="E242" s="16" t="s">
        <v>886</v>
      </c>
      <c r="F242" s="16"/>
      <c r="G242" s="16" t="s">
        <v>359</v>
      </c>
      <c r="H242" s="21" t="s">
        <v>360</v>
      </c>
      <c r="I242" s="16" t="s">
        <v>887</v>
      </c>
      <c r="J242" s="16"/>
    </row>
    <row r="243" customFormat="false" ht="34.5" hidden="false" customHeight="true" outlineLevel="0" collapsed="false">
      <c r="A243" s="16" t="s">
        <v>888</v>
      </c>
      <c r="B243" s="16" t="s">
        <v>14</v>
      </c>
      <c r="C243" s="16" t="s">
        <v>67</v>
      </c>
      <c r="D243" s="16" t="s">
        <v>765</v>
      </c>
      <c r="E243" s="16" t="s">
        <v>889</v>
      </c>
      <c r="F243" s="16" t="s">
        <v>84</v>
      </c>
      <c r="G243" s="16" t="s">
        <v>291</v>
      </c>
      <c r="H243" s="22" t="s">
        <v>363</v>
      </c>
      <c r="I243" s="16" t="s">
        <v>890</v>
      </c>
      <c r="J243" s="16"/>
    </row>
    <row r="244" customFormat="false" ht="34.5" hidden="false" customHeight="true" outlineLevel="0" collapsed="false">
      <c r="A244" s="16" t="s">
        <v>891</v>
      </c>
      <c r="B244" s="16" t="s">
        <v>14</v>
      </c>
      <c r="C244" s="16" t="s">
        <v>67</v>
      </c>
      <c r="D244" s="16" t="s">
        <v>765</v>
      </c>
      <c r="E244" s="16" t="s">
        <v>892</v>
      </c>
      <c r="F244" s="16" t="s">
        <v>125</v>
      </c>
      <c r="G244" s="16" t="s">
        <v>323</v>
      </c>
      <c r="H244" s="22" t="s">
        <v>363</v>
      </c>
      <c r="I244" s="16" t="s">
        <v>893</v>
      </c>
      <c r="J244" s="16"/>
    </row>
    <row r="245" customFormat="false" ht="34.5" hidden="false" customHeight="true" outlineLevel="0" collapsed="false">
      <c r="A245" s="16" t="s">
        <v>894</v>
      </c>
      <c r="B245" s="16" t="s">
        <v>14</v>
      </c>
      <c r="C245" s="16" t="s">
        <v>67</v>
      </c>
      <c r="D245" s="16" t="s">
        <v>765</v>
      </c>
      <c r="E245" s="16" t="s">
        <v>895</v>
      </c>
      <c r="F245" s="16"/>
      <c r="G245" s="16" t="s">
        <v>359</v>
      </c>
      <c r="H245" s="21" t="s">
        <v>360</v>
      </c>
      <c r="I245" s="16" t="s">
        <v>896</v>
      </c>
      <c r="J245" s="16"/>
    </row>
    <row r="246" customFormat="false" ht="34.5" hidden="false" customHeight="true" outlineLevel="0" collapsed="false">
      <c r="A246" s="16" t="s">
        <v>897</v>
      </c>
      <c r="B246" s="16" t="s">
        <v>14</v>
      </c>
      <c r="C246" s="16" t="s">
        <v>67</v>
      </c>
      <c r="D246" s="16" t="s">
        <v>765</v>
      </c>
      <c r="E246" s="16" t="s">
        <v>898</v>
      </c>
      <c r="F246" s="16"/>
      <c r="G246" s="16" t="s">
        <v>359</v>
      </c>
      <c r="H246" s="21" t="s">
        <v>360</v>
      </c>
      <c r="I246" s="16" t="s">
        <v>899</v>
      </c>
      <c r="J246" s="16"/>
    </row>
    <row r="247" customFormat="false" ht="34.5" hidden="false" customHeight="true" outlineLevel="0" collapsed="false">
      <c r="A247" s="16" t="s">
        <v>900</v>
      </c>
      <c r="B247" s="16" t="s">
        <v>14</v>
      </c>
      <c r="C247" s="16" t="s">
        <v>67</v>
      </c>
      <c r="D247" s="16" t="s">
        <v>765</v>
      </c>
      <c r="E247" s="16" t="s">
        <v>901</v>
      </c>
      <c r="F247" s="16" t="s">
        <v>145</v>
      </c>
      <c r="G247" s="16" t="s">
        <v>339</v>
      </c>
      <c r="H247" s="22" t="s">
        <v>363</v>
      </c>
      <c r="I247" s="16" t="s">
        <v>902</v>
      </c>
      <c r="J247" s="16"/>
    </row>
    <row r="248" customFormat="false" ht="45.75" hidden="false" customHeight="true" outlineLevel="0" collapsed="false">
      <c r="A248" s="16" t="s">
        <v>903</v>
      </c>
      <c r="B248" s="16" t="s">
        <v>10</v>
      </c>
      <c r="C248" s="16" t="s">
        <v>68</v>
      </c>
      <c r="D248" s="16" t="s">
        <v>765</v>
      </c>
      <c r="E248" s="16" t="s">
        <v>904</v>
      </c>
      <c r="F248" s="16" t="s">
        <v>130</v>
      </c>
      <c r="G248" s="16" t="s">
        <v>131</v>
      </c>
      <c r="H248" s="22" t="s">
        <v>363</v>
      </c>
      <c r="I248" s="16" t="s">
        <v>905</v>
      </c>
      <c r="J248" s="16"/>
    </row>
    <row r="249" customFormat="false" ht="45.75" hidden="false" customHeight="true" outlineLevel="0" collapsed="false">
      <c r="A249" s="16" t="s">
        <v>906</v>
      </c>
      <c r="B249" s="16" t="s">
        <v>10</v>
      </c>
      <c r="C249" s="16" t="s">
        <v>68</v>
      </c>
      <c r="D249" s="16" t="s">
        <v>765</v>
      </c>
      <c r="E249" s="16" t="s">
        <v>907</v>
      </c>
      <c r="F249" s="16" t="s">
        <v>130</v>
      </c>
      <c r="G249" s="16" t="s">
        <v>131</v>
      </c>
      <c r="H249" s="22" t="s">
        <v>363</v>
      </c>
      <c r="I249" s="16" t="s">
        <v>905</v>
      </c>
      <c r="J249" s="16"/>
    </row>
    <row r="250" customFormat="false" ht="45.75" hidden="false" customHeight="true" outlineLevel="0" collapsed="false">
      <c r="A250" s="16" t="s">
        <v>908</v>
      </c>
      <c r="B250" s="16" t="s">
        <v>10</v>
      </c>
      <c r="C250" s="16" t="s">
        <v>68</v>
      </c>
      <c r="D250" s="16" t="s">
        <v>765</v>
      </c>
      <c r="E250" s="16" t="s">
        <v>909</v>
      </c>
      <c r="F250" s="16" t="s">
        <v>130</v>
      </c>
      <c r="G250" s="16" t="s">
        <v>131</v>
      </c>
      <c r="H250" s="22" t="s">
        <v>363</v>
      </c>
      <c r="I250" s="16" t="s">
        <v>905</v>
      </c>
      <c r="J250" s="16"/>
    </row>
    <row r="251" customFormat="false" ht="45.75" hidden="false" customHeight="true" outlineLevel="0" collapsed="false">
      <c r="A251" s="16" t="s">
        <v>910</v>
      </c>
      <c r="B251" s="16" t="s">
        <v>10</v>
      </c>
      <c r="C251" s="16" t="s">
        <v>68</v>
      </c>
      <c r="D251" s="16" t="s">
        <v>765</v>
      </c>
      <c r="E251" s="16" t="s">
        <v>911</v>
      </c>
      <c r="F251" s="16" t="s">
        <v>130</v>
      </c>
      <c r="G251" s="16" t="s">
        <v>131</v>
      </c>
      <c r="H251" s="22" t="s">
        <v>363</v>
      </c>
      <c r="I251" s="16" t="s">
        <v>905</v>
      </c>
      <c r="J251" s="16"/>
    </row>
    <row r="252" customFormat="false" ht="45.75" hidden="false" customHeight="true" outlineLevel="0" collapsed="false">
      <c r="A252" s="16" t="s">
        <v>912</v>
      </c>
      <c r="B252" s="16" t="s">
        <v>10</v>
      </c>
      <c r="C252" s="16" t="s">
        <v>68</v>
      </c>
      <c r="D252" s="16" t="s">
        <v>765</v>
      </c>
      <c r="E252" s="16" t="s">
        <v>913</v>
      </c>
      <c r="F252" s="16" t="s">
        <v>130</v>
      </c>
      <c r="G252" s="16" t="s">
        <v>131</v>
      </c>
      <c r="H252" s="22" t="s">
        <v>363</v>
      </c>
      <c r="I252" s="16" t="s">
        <v>905</v>
      </c>
      <c r="J252" s="16"/>
    </row>
    <row r="253" customFormat="false" ht="45.75" hidden="false" customHeight="true" outlineLevel="0" collapsed="false">
      <c r="A253" s="16" t="s">
        <v>914</v>
      </c>
      <c r="B253" s="16" t="s">
        <v>10</v>
      </c>
      <c r="C253" s="16" t="s">
        <v>68</v>
      </c>
      <c r="D253" s="16" t="s">
        <v>765</v>
      </c>
      <c r="E253" s="16" t="s">
        <v>915</v>
      </c>
      <c r="F253" s="16" t="s">
        <v>130</v>
      </c>
      <c r="G253" s="16" t="s">
        <v>131</v>
      </c>
      <c r="H253" s="22" t="s">
        <v>363</v>
      </c>
      <c r="I253" s="16" t="s">
        <v>905</v>
      </c>
      <c r="J253" s="16"/>
    </row>
    <row r="254" customFormat="false" ht="45.75" hidden="false" customHeight="true" outlineLevel="0" collapsed="false">
      <c r="A254" s="16" t="s">
        <v>916</v>
      </c>
      <c r="B254" s="16" t="s">
        <v>10</v>
      </c>
      <c r="C254" s="16" t="s">
        <v>68</v>
      </c>
      <c r="D254" s="16" t="s">
        <v>765</v>
      </c>
      <c r="E254" s="16" t="s">
        <v>917</v>
      </c>
      <c r="F254" s="16" t="s">
        <v>130</v>
      </c>
      <c r="G254" s="16" t="s">
        <v>131</v>
      </c>
      <c r="H254" s="22" t="s">
        <v>363</v>
      </c>
      <c r="I254" s="16" t="s">
        <v>905</v>
      </c>
      <c r="J254" s="16"/>
    </row>
    <row r="255" customFormat="false" ht="45.75" hidden="false" customHeight="true" outlineLevel="0" collapsed="false">
      <c r="A255" s="16" t="s">
        <v>918</v>
      </c>
      <c r="B255" s="16" t="s">
        <v>10</v>
      </c>
      <c r="C255" s="16" t="s">
        <v>68</v>
      </c>
      <c r="D255" s="16" t="s">
        <v>765</v>
      </c>
      <c r="E255" s="16" t="s">
        <v>919</v>
      </c>
      <c r="F255" s="16" t="s">
        <v>130</v>
      </c>
      <c r="G255" s="16" t="s">
        <v>131</v>
      </c>
      <c r="H255" s="22" t="s">
        <v>363</v>
      </c>
      <c r="I255" s="16" t="s">
        <v>905</v>
      </c>
      <c r="J255" s="16"/>
    </row>
    <row r="256" customFormat="false" ht="45.75" hidden="false" customHeight="true" outlineLevel="0" collapsed="false">
      <c r="A256" s="16" t="s">
        <v>920</v>
      </c>
      <c r="B256" s="16" t="s">
        <v>10</v>
      </c>
      <c r="C256" s="16" t="s">
        <v>68</v>
      </c>
      <c r="D256" s="16" t="s">
        <v>765</v>
      </c>
      <c r="E256" s="16" t="s">
        <v>921</v>
      </c>
      <c r="F256" s="16" t="s">
        <v>130</v>
      </c>
      <c r="G256" s="16" t="s">
        <v>131</v>
      </c>
      <c r="H256" s="22" t="s">
        <v>363</v>
      </c>
      <c r="I256" s="16" t="s">
        <v>905</v>
      </c>
      <c r="J256" s="16"/>
    </row>
    <row r="257" customFormat="false" ht="45.75" hidden="false" customHeight="true" outlineLevel="0" collapsed="false">
      <c r="A257" s="16" t="s">
        <v>922</v>
      </c>
      <c r="B257" s="16" t="s">
        <v>10</v>
      </c>
      <c r="C257" s="16" t="s">
        <v>68</v>
      </c>
      <c r="D257" s="16" t="s">
        <v>765</v>
      </c>
      <c r="E257" s="16" t="s">
        <v>923</v>
      </c>
      <c r="F257" s="16" t="s">
        <v>130</v>
      </c>
      <c r="G257" s="16" t="s">
        <v>131</v>
      </c>
      <c r="H257" s="22" t="s">
        <v>363</v>
      </c>
      <c r="I257" s="16" t="s">
        <v>905</v>
      </c>
      <c r="J257" s="16"/>
    </row>
    <row r="258" customFormat="false" ht="45.75" hidden="false" customHeight="true" outlineLevel="0" collapsed="false">
      <c r="A258" s="16" t="s">
        <v>924</v>
      </c>
      <c r="B258" s="16" t="s">
        <v>10</v>
      </c>
      <c r="C258" s="16" t="s">
        <v>68</v>
      </c>
      <c r="D258" s="16" t="s">
        <v>765</v>
      </c>
      <c r="E258" s="16" t="s">
        <v>925</v>
      </c>
      <c r="F258" s="16" t="s">
        <v>130</v>
      </c>
      <c r="G258" s="16" t="s">
        <v>131</v>
      </c>
      <c r="H258" s="22" t="s">
        <v>363</v>
      </c>
      <c r="I258" s="16" t="s">
        <v>905</v>
      </c>
      <c r="J258" s="16"/>
    </row>
    <row r="259" customFormat="false" ht="45.75" hidden="false" customHeight="true" outlineLevel="0" collapsed="false">
      <c r="A259" s="16" t="s">
        <v>926</v>
      </c>
      <c r="B259" s="16" t="s">
        <v>10</v>
      </c>
      <c r="C259" s="16" t="s">
        <v>68</v>
      </c>
      <c r="D259" s="16" t="s">
        <v>765</v>
      </c>
      <c r="E259" s="16" t="s">
        <v>927</v>
      </c>
      <c r="F259" s="16" t="s">
        <v>130</v>
      </c>
      <c r="G259" s="16" t="s">
        <v>131</v>
      </c>
      <c r="H259" s="22" t="s">
        <v>363</v>
      </c>
      <c r="I259" s="16" t="s">
        <v>905</v>
      </c>
      <c r="J259" s="16"/>
    </row>
    <row r="260" customFormat="false" ht="45.75" hidden="false" customHeight="true" outlineLevel="0" collapsed="false">
      <c r="A260" s="16" t="s">
        <v>928</v>
      </c>
      <c r="B260" s="16" t="s">
        <v>10</v>
      </c>
      <c r="C260" s="16" t="s">
        <v>68</v>
      </c>
      <c r="D260" s="16" t="s">
        <v>765</v>
      </c>
      <c r="E260" s="16" t="s">
        <v>929</v>
      </c>
      <c r="F260" s="16" t="s">
        <v>130</v>
      </c>
      <c r="G260" s="16" t="s">
        <v>131</v>
      </c>
      <c r="H260" s="22" t="s">
        <v>363</v>
      </c>
      <c r="I260" s="16" t="s">
        <v>905</v>
      </c>
      <c r="J260" s="16"/>
    </row>
    <row r="261" customFormat="false" ht="45.75" hidden="false" customHeight="true" outlineLevel="0" collapsed="false">
      <c r="A261" s="16" t="s">
        <v>930</v>
      </c>
      <c r="B261" s="16" t="s">
        <v>10</v>
      </c>
      <c r="C261" s="16" t="s">
        <v>68</v>
      </c>
      <c r="D261" s="16" t="s">
        <v>765</v>
      </c>
      <c r="E261" s="16" t="s">
        <v>931</v>
      </c>
      <c r="F261" s="16" t="s">
        <v>130</v>
      </c>
      <c r="G261" s="16" t="s">
        <v>131</v>
      </c>
      <c r="H261" s="22" t="s">
        <v>363</v>
      </c>
      <c r="I261" s="16" t="s">
        <v>905</v>
      </c>
      <c r="J261" s="16"/>
    </row>
    <row r="262" customFormat="false" ht="45.75" hidden="false" customHeight="true" outlineLevel="0" collapsed="false">
      <c r="A262" s="16" t="s">
        <v>932</v>
      </c>
      <c r="B262" s="16" t="s">
        <v>10</v>
      </c>
      <c r="C262" s="16" t="s">
        <v>68</v>
      </c>
      <c r="D262" s="16" t="s">
        <v>765</v>
      </c>
      <c r="E262" s="16" t="s">
        <v>933</v>
      </c>
      <c r="F262" s="16" t="s">
        <v>110</v>
      </c>
      <c r="G262" s="16" t="s">
        <v>111</v>
      </c>
      <c r="H262" s="22" t="s">
        <v>363</v>
      </c>
      <c r="I262" s="16" t="s">
        <v>905</v>
      </c>
      <c r="J262" s="16"/>
    </row>
    <row r="263" customFormat="false" ht="45.75" hidden="false" customHeight="true" outlineLevel="0" collapsed="false">
      <c r="A263" s="16" t="s">
        <v>934</v>
      </c>
      <c r="B263" s="16" t="s">
        <v>10</v>
      </c>
      <c r="C263" s="16" t="s">
        <v>68</v>
      </c>
      <c r="D263" s="16" t="s">
        <v>765</v>
      </c>
      <c r="E263" s="16" t="s">
        <v>935</v>
      </c>
      <c r="F263" s="16" t="s">
        <v>130</v>
      </c>
      <c r="G263" s="16" t="s">
        <v>131</v>
      </c>
      <c r="H263" s="22" t="s">
        <v>363</v>
      </c>
      <c r="I263" s="16" t="s">
        <v>905</v>
      </c>
      <c r="J263" s="16"/>
    </row>
    <row r="264" customFormat="false" ht="45.75" hidden="false" customHeight="true" outlineLevel="0" collapsed="false">
      <c r="A264" s="16" t="s">
        <v>936</v>
      </c>
      <c r="B264" s="16" t="s">
        <v>10</v>
      </c>
      <c r="C264" s="16" t="s">
        <v>68</v>
      </c>
      <c r="D264" s="16" t="s">
        <v>765</v>
      </c>
      <c r="E264" s="16" t="s">
        <v>937</v>
      </c>
      <c r="F264" s="16" t="s">
        <v>130</v>
      </c>
      <c r="G264" s="16" t="s">
        <v>131</v>
      </c>
      <c r="H264" s="22" t="s">
        <v>363</v>
      </c>
      <c r="I264" s="16" t="s">
        <v>905</v>
      </c>
      <c r="J264" s="16"/>
    </row>
    <row r="265" customFormat="false" ht="45.75" hidden="false" customHeight="true" outlineLevel="0" collapsed="false">
      <c r="A265" s="16" t="s">
        <v>938</v>
      </c>
      <c r="B265" s="16" t="s">
        <v>10</v>
      </c>
      <c r="C265" s="16" t="s">
        <v>68</v>
      </c>
      <c r="D265" s="16" t="s">
        <v>765</v>
      </c>
      <c r="E265" s="16" t="s">
        <v>939</v>
      </c>
      <c r="F265" s="16" t="s">
        <v>130</v>
      </c>
      <c r="G265" s="16" t="s">
        <v>131</v>
      </c>
      <c r="H265" s="22" t="s">
        <v>363</v>
      </c>
      <c r="I265" s="16" t="s">
        <v>905</v>
      </c>
      <c r="J265" s="16"/>
    </row>
    <row r="266" customFormat="false" ht="45.75" hidden="false" customHeight="true" outlineLevel="0" collapsed="false">
      <c r="A266" s="16" t="s">
        <v>940</v>
      </c>
      <c r="B266" s="16" t="s">
        <v>10</v>
      </c>
      <c r="C266" s="16" t="s">
        <v>68</v>
      </c>
      <c r="D266" s="16" t="s">
        <v>765</v>
      </c>
      <c r="E266" s="16" t="s">
        <v>941</v>
      </c>
      <c r="F266" s="16" t="s">
        <v>130</v>
      </c>
      <c r="G266" s="16" t="s">
        <v>131</v>
      </c>
      <c r="H266" s="22" t="s">
        <v>363</v>
      </c>
      <c r="I266" s="16" t="s">
        <v>905</v>
      </c>
      <c r="J266" s="16"/>
    </row>
    <row r="267" customFormat="false" ht="45.75" hidden="false" customHeight="true" outlineLevel="0" collapsed="false">
      <c r="A267" s="16" t="s">
        <v>942</v>
      </c>
      <c r="B267" s="16" t="s">
        <v>10</v>
      </c>
      <c r="C267" s="16" t="s">
        <v>68</v>
      </c>
      <c r="D267" s="16" t="s">
        <v>765</v>
      </c>
      <c r="E267" s="16" t="s">
        <v>943</v>
      </c>
      <c r="F267" s="16" t="s">
        <v>130</v>
      </c>
      <c r="G267" s="16" t="s">
        <v>131</v>
      </c>
      <c r="H267" s="22" t="s">
        <v>363</v>
      </c>
      <c r="I267" s="16" t="s">
        <v>905</v>
      </c>
      <c r="J267" s="16"/>
    </row>
    <row r="268" customFormat="false" ht="45.75" hidden="false" customHeight="true" outlineLevel="0" collapsed="false">
      <c r="A268" s="16" t="s">
        <v>944</v>
      </c>
      <c r="B268" s="16" t="s">
        <v>11</v>
      </c>
      <c r="C268" s="16" t="s">
        <v>68</v>
      </c>
      <c r="D268" s="16" t="s">
        <v>765</v>
      </c>
      <c r="E268" s="16" t="s">
        <v>945</v>
      </c>
      <c r="F268" s="16"/>
      <c r="G268" s="16" t="s">
        <v>359</v>
      </c>
      <c r="H268" s="21" t="s">
        <v>360</v>
      </c>
      <c r="I268" s="16" t="s">
        <v>905</v>
      </c>
      <c r="J268" s="16"/>
    </row>
    <row r="269" customFormat="false" ht="45.75" hidden="false" customHeight="true" outlineLevel="0" collapsed="false">
      <c r="A269" s="16" t="s">
        <v>946</v>
      </c>
      <c r="B269" s="16" t="s">
        <v>11</v>
      </c>
      <c r="C269" s="16" t="s">
        <v>68</v>
      </c>
      <c r="D269" s="16" t="s">
        <v>765</v>
      </c>
      <c r="E269" s="16" t="s">
        <v>947</v>
      </c>
      <c r="F269" s="16"/>
      <c r="G269" s="16" t="s">
        <v>359</v>
      </c>
      <c r="H269" s="21" t="s">
        <v>360</v>
      </c>
      <c r="I269" s="16" t="s">
        <v>905</v>
      </c>
      <c r="J269" s="16"/>
    </row>
    <row r="270" customFormat="false" ht="45.75" hidden="false" customHeight="true" outlineLevel="0" collapsed="false">
      <c r="A270" s="16" t="s">
        <v>948</v>
      </c>
      <c r="B270" s="16" t="s">
        <v>11</v>
      </c>
      <c r="C270" s="16" t="s">
        <v>68</v>
      </c>
      <c r="D270" s="16" t="s">
        <v>765</v>
      </c>
      <c r="E270" s="16" t="s">
        <v>949</v>
      </c>
      <c r="F270" s="16"/>
      <c r="G270" s="16" t="s">
        <v>359</v>
      </c>
      <c r="H270" s="21" t="s">
        <v>360</v>
      </c>
      <c r="I270" s="16" t="s">
        <v>905</v>
      </c>
      <c r="J270" s="16"/>
    </row>
    <row r="271" customFormat="false" ht="45.75" hidden="false" customHeight="true" outlineLevel="0" collapsed="false">
      <c r="A271" s="16" t="s">
        <v>950</v>
      </c>
      <c r="B271" s="16" t="s">
        <v>11</v>
      </c>
      <c r="C271" s="16" t="s">
        <v>68</v>
      </c>
      <c r="D271" s="16" t="s">
        <v>765</v>
      </c>
      <c r="E271" s="16" t="s">
        <v>951</v>
      </c>
      <c r="F271" s="16"/>
      <c r="G271" s="16" t="s">
        <v>359</v>
      </c>
      <c r="H271" s="21" t="s">
        <v>360</v>
      </c>
      <c r="I271" s="16" t="s">
        <v>905</v>
      </c>
      <c r="J271" s="16"/>
    </row>
    <row r="272" customFormat="false" ht="45.75" hidden="false" customHeight="true" outlineLevel="0" collapsed="false">
      <c r="A272" s="16" t="s">
        <v>952</v>
      </c>
      <c r="B272" s="16" t="s">
        <v>11</v>
      </c>
      <c r="C272" s="16" t="s">
        <v>68</v>
      </c>
      <c r="D272" s="16" t="s">
        <v>765</v>
      </c>
      <c r="E272" s="16" t="s">
        <v>953</v>
      </c>
      <c r="F272" s="16"/>
      <c r="G272" s="16" t="s">
        <v>359</v>
      </c>
      <c r="H272" s="21" t="s">
        <v>360</v>
      </c>
      <c r="I272" s="16" t="s">
        <v>905</v>
      </c>
      <c r="J272" s="16"/>
    </row>
    <row r="273" customFormat="false" ht="45.75" hidden="false" customHeight="true" outlineLevel="0" collapsed="false">
      <c r="A273" s="16" t="s">
        <v>954</v>
      </c>
      <c r="B273" s="16" t="s">
        <v>11</v>
      </c>
      <c r="C273" s="16" t="s">
        <v>68</v>
      </c>
      <c r="D273" s="16" t="s">
        <v>765</v>
      </c>
      <c r="E273" s="16" t="s">
        <v>955</v>
      </c>
      <c r="F273" s="16" t="s">
        <v>125</v>
      </c>
      <c r="G273" s="16" t="s">
        <v>195</v>
      </c>
      <c r="H273" s="22" t="s">
        <v>363</v>
      </c>
      <c r="I273" s="16" t="s">
        <v>905</v>
      </c>
      <c r="J273" s="16"/>
    </row>
    <row r="274" customFormat="false" ht="45.75" hidden="false" customHeight="true" outlineLevel="0" collapsed="false">
      <c r="A274" s="16" t="s">
        <v>956</v>
      </c>
      <c r="B274" s="16" t="s">
        <v>11</v>
      </c>
      <c r="C274" s="16" t="s">
        <v>68</v>
      </c>
      <c r="D274" s="16" t="s">
        <v>765</v>
      </c>
      <c r="E274" s="16" t="s">
        <v>957</v>
      </c>
      <c r="F274" s="16"/>
      <c r="G274" s="16" t="s">
        <v>359</v>
      </c>
      <c r="H274" s="21" t="s">
        <v>360</v>
      </c>
      <c r="I274" s="16" t="s">
        <v>905</v>
      </c>
      <c r="J274" s="16"/>
    </row>
    <row r="275" customFormat="false" ht="45.75" hidden="false" customHeight="true" outlineLevel="0" collapsed="false">
      <c r="A275" s="16" t="s">
        <v>958</v>
      </c>
      <c r="B275" s="16" t="s">
        <v>11</v>
      </c>
      <c r="C275" s="16" t="s">
        <v>68</v>
      </c>
      <c r="D275" s="16" t="s">
        <v>765</v>
      </c>
      <c r="E275" s="16" t="s">
        <v>959</v>
      </c>
      <c r="F275" s="16" t="s">
        <v>99</v>
      </c>
      <c r="G275" s="16" t="s">
        <v>175</v>
      </c>
      <c r="H275" s="22" t="s">
        <v>363</v>
      </c>
      <c r="I275" s="16" t="s">
        <v>905</v>
      </c>
      <c r="J275" s="16"/>
    </row>
    <row r="276" customFormat="false" ht="45.75" hidden="false" customHeight="true" outlineLevel="0" collapsed="false">
      <c r="A276" s="16" t="s">
        <v>960</v>
      </c>
      <c r="B276" s="16" t="s">
        <v>11</v>
      </c>
      <c r="C276" s="16" t="s">
        <v>68</v>
      </c>
      <c r="D276" s="16" t="s">
        <v>765</v>
      </c>
      <c r="E276" s="16" t="s">
        <v>961</v>
      </c>
      <c r="F276" s="16"/>
      <c r="G276" s="16" t="s">
        <v>359</v>
      </c>
      <c r="H276" s="21" t="s">
        <v>360</v>
      </c>
      <c r="I276" s="16" t="s">
        <v>905</v>
      </c>
      <c r="J276" s="16"/>
    </row>
    <row r="277" customFormat="false" ht="45.75" hidden="false" customHeight="true" outlineLevel="0" collapsed="false">
      <c r="A277" s="16" t="s">
        <v>962</v>
      </c>
      <c r="B277" s="16" t="s">
        <v>11</v>
      </c>
      <c r="C277" s="16" t="s">
        <v>68</v>
      </c>
      <c r="D277" s="16" t="s">
        <v>765</v>
      </c>
      <c r="E277" s="16" t="s">
        <v>963</v>
      </c>
      <c r="F277" s="16"/>
      <c r="G277" s="16" t="s">
        <v>359</v>
      </c>
      <c r="H277" s="21" t="s">
        <v>360</v>
      </c>
      <c r="I277" s="16" t="s">
        <v>905</v>
      </c>
      <c r="J277" s="16"/>
    </row>
    <row r="278" customFormat="false" ht="45.75" hidden="false" customHeight="true" outlineLevel="0" collapsed="false">
      <c r="A278" s="16" t="s">
        <v>964</v>
      </c>
      <c r="B278" s="16" t="s">
        <v>11</v>
      </c>
      <c r="C278" s="16" t="s">
        <v>68</v>
      </c>
      <c r="D278" s="16" t="s">
        <v>765</v>
      </c>
      <c r="E278" s="16" t="s">
        <v>965</v>
      </c>
      <c r="F278" s="16"/>
      <c r="G278" s="16" t="s">
        <v>359</v>
      </c>
      <c r="H278" s="21" t="s">
        <v>360</v>
      </c>
      <c r="I278" s="16" t="s">
        <v>905</v>
      </c>
      <c r="J278" s="16"/>
    </row>
    <row r="279" customFormat="false" ht="45.75" hidden="false" customHeight="true" outlineLevel="0" collapsed="false">
      <c r="A279" s="16" t="s">
        <v>966</v>
      </c>
      <c r="B279" s="16" t="s">
        <v>11</v>
      </c>
      <c r="C279" s="16" t="s">
        <v>68</v>
      </c>
      <c r="D279" s="16" t="s">
        <v>765</v>
      </c>
      <c r="E279" s="16" t="s">
        <v>967</v>
      </c>
      <c r="F279" s="16"/>
      <c r="G279" s="16" t="s">
        <v>359</v>
      </c>
      <c r="H279" s="21" t="s">
        <v>360</v>
      </c>
      <c r="I279" s="16" t="s">
        <v>905</v>
      </c>
      <c r="J279" s="16"/>
    </row>
    <row r="280" customFormat="false" ht="45.75" hidden="false" customHeight="true" outlineLevel="0" collapsed="false">
      <c r="A280" s="16" t="s">
        <v>968</v>
      </c>
      <c r="B280" s="16" t="s">
        <v>11</v>
      </c>
      <c r="C280" s="16" t="s">
        <v>68</v>
      </c>
      <c r="D280" s="16" t="s">
        <v>765</v>
      </c>
      <c r="E280" s="16" t="s">
        <v>969</v>
      </c>
      <c r="F280" s="16"/>
      <c r="G280" s="16" t="s">
        <v>359</v>
      </c>
      <c r="H280" s="21" t="s">
        <v>360</v>
      </c>
      <c r="I280" s="16" t="s">
        <v>905</v>
      </c>
      <c r="J280" s="16"/>
    </row>
    <row r="281" customFormat="false" ht="45.75" hidden="false" customHeight="true" outlineLevel="0" collapsed="false">
      <c r="A281" s="16" t="s">
        <v>970</v>
      </c>
      <c r="B281" s="16" t="s">
        <v>564</v>
      </c>
      <c r="C281" s="16" t="s">
        <v>68</v>
      </c>
      <c r="D281" s="16" t="s">
        <v>765</v>
      </c>
      <c r="E281" s="16" t="s">
        <v>971</v>
      </c>
      <c r="F281" s="16"/>
      <c r="G281" s="16" t="s">
        <v>359</v>
      </c>
      <c r="H281" s="21" t="s">
        <v>360</v>
      </c>
      <c r="I281" s="16" t="s">
        <v>905</v>
      </c>
      <c r="J281" s="16"/>
    </row>
    <row r="282" customFormat="false" ht="45.75" hidden="false" customHeight="true" outlineLevel="0" collapsed="false">
      <c r="A282" s="16" t="s">
        <v>972</v>
      </c>
      <c r="B282" s="16" t="s">
        <v>564</v>
      </c>
      <c r="C282" s="16" t="s">
        <v>68</v>
      </c>
      <c r="D282" s="16" t="s">
        <v>765</v>
      </c>
      <c r="E282" s="16" t="s">
        <v>973</v>
      </c>
      <c r="F282" s="16"/>
      <c r="G282" s="16" t="s">
        <v>359</v>
      </c>
      <c r="H282" s="21" t="s">
        <v>360</v>
      </c>
      <c r="I282" s="16" t="s">
        <v>905</v>
      </c>
      <c r="J282" s="16"/>
    </row>
    <row r="283" customFormat="false" ht="45.75" hidden="false" customHeight="true" outlineLevel="0" collapsed="false">
      <c r="A283" s="16" t="s">
        <v>974</v>
      </c>
      <c r="B283" s="16" t="s">
        <v>564</v>
      </c>
      <c r="C283" s="16" t="s">
        <v>68</v>
      </c>
      <c r="D283" s="16" t="s">
        <v>765</v>
      </c>
      <c r="E283" s="16" t="s">
        <v>975</v>
      </c>
      <c r="F283" s="16"/>
      <c r="G283" s="16" t="s">
        <v>359</v>
      </c>
      <c r="H283" s="21" t="s">
        <v>360</v>
      </c>
      <c r="I283" s="16" t="s">
        <v>905</v>
      </c>
      <c r="J283" s="16"/>
    </row>
    <row r="284" customFormat="false" ht="45.75" hidden="false" customHeight="true" outlineLevel="0" collapsed="false">
      <c r="A284" s="16" t="s">
        <v>976</v>
      </c>
      <c r="B284" s="16" t="s">
        <v>564</v>
      </c>
      <c r="C284" s="16" t="s">
        <v>68</v>
      </c>
      <c r="D284" s="16" t="s">
        <v>765</v>
      </c>
      <c r="E284" s="16" t="s">
        <v>977</v>
      </c>
      <c r="F284" s="16"/>
      <c r="G284" s="16" t="s">
        <v>359</v>
      </c>
      <c r="H284" s="21" t="s">
        <v>360</v>
      </c>
      <c r="I284" s="16" t="s">
        <v>905</v>
      </c>
      <c r="J284" s="16"/>
    </row>
    <row r="285" customFormat="false" ht="45.75" hidden="false" customHeight="true" outlineLevel="0" collapsed="false">
      <c r="A285" s="16" t="s">
        <v>978</v>
      </c>
      <c r="B285" s="16" t="s">
        <v>564</v>
      </c>
      <c r="C285" s="16" t="s">
        <v>68</v>
      </c>
      <c r="D285" s="16" t="s">
        <v>765</v>
      </c>
      <c r="E285" s="16" t="s">
        <v>979</v>
      </c>
      <c r="F285" s="16"/>
      <c r="G285" s="16" t="s">
        <v>359</v>
      </c>
      <c r="H285" s="21" t="s">
        <v>360</v>
      </c>
      <c r="I285" s="16" t="s">
        <v>905</v>
      </c>
      <c r="J285" s="16"/>
    </row>
    <row r="286" customFormat="false" ht="45.75" hidden="false" customHeight="true" outlineLevel="0" collapsed="false">
      <c r="A286" s="16" t="s">
        <v>980</v>
      </c>
      <c r="B286" s="16" t="s">
        <v>564</v>
      </c>
      <c r="C286" s="16" t="s">
        <v>68</v>
      </c>
      <c r="D286" s="16" t="s">
        <v>765</v>
      </c>
      <c r="E286" s="16" t="s">
        <v>981</v>
      </c>
      <c r="F286" s="16"/>
      <c r="G286" s="16" t="s">
        <v>359</v>
      </c>
      <c r="H286" s="21" t="s">
        <v>360</v>
      </c>
      <c r="I286" s="16" t="s">
        <v>905</v>
      </c>
      <c r="J286" s="16"/>
    </row>
    <row r="287" customFormat="false" ht="45.75" hidden="false" customHeight="true" outlineLevel="0" collapsed="false">
      <c r="A287" s="16" t="s">
        <v>982</v>
      </c>
      <c r="B287" s="16" t="s">
        <v>564</v>
      </c>
      <c r="C287" s="16" t="s">
        <v>68</v>
      </c>
      <c r="D287" s="16" t="s">
        <v>765</v>
      </c>
      <c r="E287" s="16" t="s">
        <v>983</v>
      </c>
      <c r="F287" s="16"/>
      <c r="G287" s="16" t="s">
        <v>359</v>
      </c>
      <c r="H287" s="21" t="s">
        <v>360</v>
      </c>
      <c r="I287" s="16" t="s">
        <v>905</v>
      </c>
      <c r="J287" s="16"/>
    </row>
    <row r="288" customFormat="false" ht="45.75" hidden="false" customHeight="true" outlineLevel="0" collapsed="false">
      <c r="A288" s="16" t="s">
        <v>984</v>
      </c>
      <c r="B288" s="16" t="s">
        <v>564</v>
      </c>
      <c r="C288" s="16" t="s">
        <v>68</v>
      </c>
      <c r="D288" s="16" t="s">
        <v>765</v>
      </c>
      <c r="E288" s="16" t="s">
        <v>985</v>
      </c>
      <c r="F288" s="16"/>
      <c r="G288" s="16" t="s">
        <v>359</v>
      </c>
      <c r="H288" s="21" t="s">
        <v>360</v>
      </c>
      <c r="I288" s="16" t="s">
        <v>905</v>
      </c>
      <c r="J288" s="16"/>
    </row>
    <row r="289" customFormat="false" ht="45.75" hidden="false" customHeight="true" outlineLevel="0" collapsed="false">
      <c r="A289" s="16" t="s">
        <v>986</v>
      </c>
      <c r="B289" s="16" t="s">
        <v>564</v>
      </c>
      <c r="C289" s="16" t="s">
        <v>68</v>
      </c>
      <c r="D289" s="16" t="s">
        <v>765</v>
      </c>
      <c r="E289" s="16" t="s">
        <v>987</v>
      </c>
      <c r="F289" s="16"/>
      <c r="G289" s="16" t="s">
        <v>359</v>
      </c>
      <c r="H289" s="21" t="s">
        <v>360</v>
      </c>
      <c r="I289" s="16" t="s">
        <v>905</v>
      </c>
      <c r="J289" s="16"/>
    </row>
    <row r="290" customFormat="false" ht="45.75" hidden="false" customHeight="true" outlineLevel="0" collapsed="false">
      <c r="A290" s="16" t="s">
        <v>988</v>
      </c>
      <c r="B290" s="16" t="s">
        <v>564</v>
      </c>
      <c r="C290" s="16" t="s">
        <v>68</v>
      </c>
      <c r="D290" s="16" t="s">
        <v>765</v>
      </c>
      <c r="E290" s="16" t="s">
        <v>989</v>
      </c>
      <c r="F290" s="16"/>
      <c r="G290" s="16" t="s">
        <v>359</v>
      </c>
      <c r="H290" s="21" t="s">
        <v>360</v>
      </c>
      <c r="I290" s="16" t="s">
        <v>905</v>
      </c>
      <c r="J290" s="16"/>
    </row>
    <row r="291" customFormat="false" ht="45.75" hidden="false" customHeight="true" outlineLevel="0" collapsed="false">
      <c r="A291" s="16" t="s">
        <v>990</v>
      </c>
      <c r="B291" s="16" t="s">
        <v>564</v>
      </c>
      <c r="C291" s="16" t="s">
        <v>68</v>
      </c>
      <c r="D291" s="16" t="s">
        <v>765</v>
      </c>
      <c r="E291" s="16" t="s">
        <v>991</v>
      </c>
      <c r="F291" s="16"/>
      <c r="G291" s="16" t="s">
        <v>359</v>
      </c>
      <c r="H291" s="21" t="s">
        <v>360</v>
      </c>
      <c r="I291" s="16" t="s">
        <v>905</v>
      </c>
      <c r="J291" s="16"/>
    </row>
    <row r="292" customFormat="false" ht="45.75" hidden="false" customHeight="true" outlineLevel="0" collapsed="false">
      <c r="A292" s="16" t="s">
        <v>992</v>
      </c>
      <c r="B292" s="16" t="s">
        <v>564</v>
      </c>
      <c r="C292" s="16" t="s">
        <v>68</v>
      </c>
      <c r="D292" s="16" t="s">
        <v>765</v>
      </c>
      <c r="E292" s="16" t="s">
        <v>993</v>
      </c>
      <c r="F292" s="16"/>
      <c r="G292" s="16" t="s">
        <v>359</v>
      </c>
      <c r="H292" s="21" t="s">
        <v>360</v>
      </c>
      <c r="I292" s="16" t="s">
        <v>905</v>
      </c>
      <c r="J292" s="16"/>
    </row>
    <row r="293" customFormat="false" ht="45.75" hidden="false" customHeight="true" outlineLevel="0" collapsed="false">
      <c r="A293" s="16" t="s">
        <v>994</v>
      </c>
      <c r="B293" s="16" t="s">
        <v>564</v>
      </c>
      <c r="C293" s="16" t="s">
        <v>68</v>
      </c>
      <c r="D293" s="16" t="s">
        <v>765</v>
      </c>
      <c r="E293" s="16" t="s">
        <v>995</v>
      </c>
      <c r="F293" s="16" t="s">
        <v>79</v>
      </c>
      <c r="G293" s="16" t="s">
        <v>255</v>
      </c>
      <c r="H293" s="24" t="s">
        <v>996</v>
      </c>
      <c r="I293" s="16" t="s">
        <v>905</v>
      </c>
      <c r="J293" s="16"/>
    </row>
    <row r="294" customFormat="false" ht="45.75" hidden="false" customHeight="true" outlineLevel="0" collapsed="false">
      <c r="A294" s="16" t="s">
        <v>997</v>
      </c>
      <c r="B294" s="16" t="s">
        <v>14</v>
      </c>
      <c r="C294" s="16" t="s">
        <v>68</v>
      </c>
      <c r="D294" s="16" t="s">
        <v>765</v>
      </c>
      <c r="E294" s="16" t="s">
        <v>998</v>
      </c>
      <c r="F294" s="16"/>
      <c r="G294" s="16" t="s">
        <v>359</v>
      </c>
      <c r="H294" s="21" t="s">
        <v>360</v>
      </c>
      <c r="I294" s="16" t="s">
        <v>905</v>
      </c>
      <c r="J294" s="16"/>
    </row>
    <row r="295" customFormat="false" ht="45.75" hidden="false" customHeight="true" outlineLevel="0" collapsed="false">
      <c r="A295" s="16" t="s">
        <v>999</v>
      </c>
      <c r="B295" s="16" t="s">
        <v>14</v>
      </c>
      <c r="C295" s="16" t="s">
        <v>68</v>
      </c>
      <c r="D295" s="16" t="s">
        <v>765</v>
      </c>
      <c r="E295" s="16" t="s">
        <v>1000</v>
      </c>
      <c r="F295" s="16"/>
      <c r="G295" s="16" t="s">
        <v>359</v>
      </c>
      <c r="H295" s="21" t="s">
        <v>360</v>
      </c>
      <c r="I295" s="16" t="s">
        <v>905</v>
      </c>
      <c r="J295" s="16"/>
    </row>
    <row r="296" customFormat="false" ht="45.75" hidden="false" customHeight="true" outlineLevel="0" collapsed="false">
      <c r="A296" s="16" t="s">
        <v>1001</v>
      </c>
      <c r="B296" s="16" t="s">
        <v>14</v>
      </c>
      <c r="C296" s="16" t="s">
        <v>68</v>
      </c>
      <c r="D296" s="16" t="s">
        <v>765</v>
      </c>
      <c r="E296" s="16" t="s">
        <v>1002</v>
      </c>
      <c r="F296" s="16"/>
      <c r="G296" s="16" t="s">
        <v>359</v>
      </c>
      <c r="H296" s="21" t="s">
        <v>360</v>
      </c>
      <c r="I296" s="16" t="s">
        <v>905</v>
      </c>
      <c r="J296" s="16"/>
    </row>
    <row r="297" customFormat="false" ht="45.75" hidden="false" customHeight="true" outlineLevel="0" collapsed="false">
      <c r="A297" s="16" t="s">
        <v>1003</v>
      </c>
      <c r="B297" s="16" t="s">
        <v>14</v>
      </c>
      <c r="C297" s="16" t="s">
        <v>68</v>
      </c>
      <c r="D297" s="16" t="s">
        <v>765</v>
      </c>
      <c r="E297" s="16" t="s">
        <v>1004</v>
      </c>
      <c r="F297" s="16"/>
      <c r="G297" s="16" t="s">
        <v>359</v>
      </c>
      <c r="H297" s="21" t="s">
        <v>360</v>
      </c>
      <c r="I297" s="16" t="s">
        <v>905</v>
      </c>
      <c r="J297" s="16"/>
    </row>
    <row r="298" customFormat="false" ht="45.75" hidden="false" customHeight="true" outlineLevel="0" collapsed="false">
      <c r="A298" s="16" t="s">
        <v>1005</v>
      </c>
      <c r="B298" s="16" t="s">
        <v>14</v>
      </c>
      <c r="C298" s="16" t="s">
        <v>68</v>
      </c>
      <c r="D298" s="16" t="s">
        <v>765</v>
      </c>
      <c r="E298" s="16" t="s">
        <v>1006</v>
      </c>
      <c r="F298" s="16"/>
      <c r="G298" s="16" t="s">
        <v>359</v>
      </c>
      <c r="H298" s="21" t="s">
        <v>360</v>
      </c>
      <c r="I298" s="16" t="s">
        <v>905</v>
      </c>
      <c r="J298" s="16"/>
    </row>
    <row r="299" customFormat="false" ht="45.75" hidden="false" customHeight="true" outlineLevel="0" collapsed="false">
      <c r="A299" s="16" t="s">
        <v>1007</v>
      </c>
      <c r="B299" s="16" t="s">
        <v>14</v>
      </c>
      <c r="C299" s="16" t="s">
        <v>68</v>
      </c>
      <c r="D299" s="16" t="s">
        <v>765</v>
      </c>
      <c r="E299" s="16" t="s">
        <v>1008</v>
      </c>
      <c r="F299" s="16"/>
      <c r="G299" s="16" t="s">
        <v>359</v>
      </c>
      <c r="H299" s="21" t="s">
        <v>360</v>
      </c>
      <c r="I299" s="16" t="s">
        <v>905</v>
      </c>
      <c r="J299" s="16"/>
    </row>
    <row r="300" customFormat="false" ht="45.75" hidden="false" customHeight="true" outlineLevel="0" collapsed="false">
      <c r="A300" s="16" t="s">
        <v>1009</v>
      </c>
      <c r="B300" s="16" t="s">
        <v>14</v>
      </c>
      <c r="C300" s="16" t="s">
        <v>68</v>
      </c>
      <c r="D300" s="16" t="s">
        <v>765</v>
      </c>
      <c r="E300" s="16" t="s">
        <v>1010</v>
      </c>
      <c r="F300" s="16"/>
      <c r="G300" s="16" t="s">
        <v>359</v>
      </c>
      <c r="H300" s="21" t="s">
        <v>360</v>
      </c>
      <c r="I300" s="16" t="s">
        <v>905</v>
      </c>
      <c r="J300" s="16"/>
    </row>
    <row r="301" customFormat="false" ht="45.75" hidden="false" customHeight="true" outlineLevel="0" collapsed="false">
      <c r="A301" s="16" t="s">
        <v>1011</v>
      </c>
      <c r="B301" s="16" t="s">
        <v>14</v>
      </c>
      <c r="C301" s="16" t="s">
        <v>68</v>
      </c>
      <c r="D301" s="16" t="s">
        <v>765</v>
      </c>
      <c r="E301" s="16" t="s">
        <v>1012</v>
      </c>
      <c r="F301" s="16"/>
      <c r="G301" s="16" t="s">
        <v>359</v>
      </c>
      <c r="H301" s="21" t="s">
        <v>360</v>
      </c>
      <c r="I301" s="16" t="s">
        <v>905</v>
      </c>
      <c r="J301" s="16"/>
    </row>
    <row r="302" customFormat="false" ht="45.75" hidden="false" customHeight="true" outlineLevel="0" collapsed="false">
      <c r="A302" s="16" t="s">
        <v>1013</v>
      </c>
      <c r="B302" s="16" t="s">
        <v>14</v>
      </c>
      <c r="C302" s="16" t="s">
        <v>68</v>
      </c>
      <c r="D302" s="16" t="s">
        <v>765</v>
      </c>
      <c r="E302" s="16" t="s">
        <v>1014</v>
      </c>
      <c r="F302" s="16"/>
      <c r="G302" s="16" t="s">
        <v>359</v>
      </c>
      <c r="H302" s="21" t="s">
        <v>360</v>
      </c>
      <c r="I302" s="16" t="s">
        <v>905</v>
      </c>
      <c r="J302" s="16"/>
    </row>
    <row r="303" customFormat="false" ht="45.75" hidden="false" customHeight="true" outlineLevel="0" collapsed="false">
      <c r="A303" s="16" t="s">
        <v>1015</v>
      </c>
      <c r="B303" s="16" t="s">
        <v>14</v>
      </c>
      <c r="C303" s="16" t="s">
        <v>68</v>
      </c>
      <c r="D303" s="16" t="s">
        <v>765</v>
      </c>
      <c r="E303" s="16" t="s">
        <v>1016</v>
      </c>
      <c r="F303" s="16"/>
      <c r="G303" s="16" t="s">
        <v>359</v>
      </c>
      <c r="H303" s="21" t="s">
        <v>360</v>
      </c>
      <c r="I303" s="16" t="s">
        <v>905</v>
      </c>
      <c r="J303" s="16"/>
    </row>
    <row r="304" customFormat="false" ht="45.75" hidden="false" customHeight="true" outlineLevel="0" collapsed="false">
      <c r="A304" s="16" t="s">
        <v>1017</v>
      </c>
      <c r="B304" s="16" t="s">
        <v>14</v>
      </c>
      <c r="C304" s="16" t="s">
        <v>68</v>
      </c>
      <c r="D304" s="16" t="s">
        <v>765</v>
      </c>
      <c r="E304" s="16" t="s">
        <v>1018</v>
      </c>
      <c r="F304" s="16"/>
      <c r="G304" s="16" t="s">
        <v>359</v>
      </c>
      <c r="H304" s="21" t="s">
        <v>360</v>
      </c>
      <c r="I304" s="16" t="s">
        <v>905</v>
      </c>
      <c r="J304" s="16"/>
    </row>
    <row r="305" customFormat="false" ht="45.75" hidden="false" customHeight="true" outlineLevel="0" collapsed="false">
      <c r="A305" s="16" t="s">
        <v>1019</v>
      </c>
      <c r="B305" s="16" t="s">
        <v>14</v>
      </c>
      <c r="C305" s="16" t="s">
        <v>68</v>
      </c>
      <c r="D305" s="16" t="s">
        <v>765</v>
      </c>
      <c r="E305" s="16" t="s">
        <v>1020</v>
      </c>
      <c r="F305" s="16"/>
      <c r="G305" s="16" t="s">
        <v>359</v>
      </c>
      <c r="H305" s="21" t="s">
        <v>360</v>
      </c>
      <c r="I305" s="16" t="s">
        <v>905</v>
      </c>
      <c r="J305" s="16"/>
    </row>
    <row r="306" customFormat="false" ht="45.75" hidden="false" customHeight="true" outlineLevel="0" collapsed="false">
      <c r="A306" s="16" t="s">
        <v>1021</v>
      </c>
      <c r="B306" s="16" t="s">
        <v>14</v>
      </c>
      <c r="C306" s="16" t="s">
        <v>68</v>
      </c>
      <c r="D306" s="16" t="s">
        <v>765</v>
      </c>
      <c r="E306" s="16" t="s">
        <v>1022</v>
      </c>
      <c r="F306" s="16"/>
      <c r="G306" s="16" t="s">
        <v>359</v>
      </c>
      <c r="H306" s="21" t="s">
        <v>360</v>
      </c>
      <c r="I306" s="16" t="s">
        <v>905</v>
      </c>
      <c r="J306" s="16"/>
    </row>
    <row r="308" customFormat="false" ht="21.75" hidden="false" customHeight="true" outlineLevel="0" collapsed="false">
      <c r="A308" s="25" t="s">
        <v>1023</v>
      </c>
      <c r="B308" s="25"/>
      <c r="C308" s="25"/>
      <c r="D308" s="25"/>
      <c r="E308" s="25"/>
      <c r="F308" s="25"/>
      <c r="G308" s="25"/>
      <c r="H308" s="25"/>
      <c r="I308" s="25"/>
      <c r="J308" s="25"/>
    </row>
  </sheetData>
  <mergeCells count="1">
    <mergeCell ref="A308:J308"/>
  </mergeCells>
  <dataValidations count="1">
    <dataValidation allowBlank="true" errorStyle="stop" operator="between" showDropDown="false" showErrorMessage="false" showInputMessage="false" sqref="J2:J306" type="list">
      <formula1>"Si,No,Parcial"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2026-08-20T20:43:05Z</dcterms:created>
  <dc:creator>openpyxl</dc:creator>
  <dc:description/>
  <dc:language>en-US</dc:language>
  <cp:lastModifiedBy/>
  <dcterms:modified xsi:type="dcterms:W3CDTF">2026-08-21T14:46:56Z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